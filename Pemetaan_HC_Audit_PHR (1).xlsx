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bar\Downloads\audit hc phr zona rokan\"/>
    </mc:Choice>
  </mc:AlternateContent>
  <xr:revisionPtr revIDLastSave="0" documentId="13_ncr:1_{77F5B0DB-B7DC-4D97-8476-2F749EE81F16}" xr6:coauthVersionLast="47" xr6:coauthVersionMax="47" xr10:uidLastSave="{00000000-0000-0000-0000-000000000000}"/>
  <bookViews>
    <workbookView xWindow="0" yWindow="360" windowWidth="19420" windowHeight="10300" tabRatio="500" xr2:uid="{00000000-000D-0000-FFFF-FFFF00000000}"/>
  </bookViews>
  <sheets>
    <sheet name="Pemetaan HC" sheetId="1" r:id="rId1"/>
    <sheet name="Rincian Semua Klausul" sheetId="2" r:id="rId2"/>
    <sheet name="Tracker Follow Up" sheetId="3" r:id="rId3"/>
    <sheet name="Pertanyaan Pembimbing" sheetId="4" r:id="rId4"/>
    <sheet name="Sumber" sheetId="5" r:id="rId5"/>
  </sheets>
  <definedNames>
    <definedName name="_xlnm._FilterDatabase" localSheetId="0" hidden="1">'Pemetaan HC'!$A$4:$I$11</definedName>
    <definedName name="_xlnm._FilterDatabase" localSheetId="1" hidden="1">'Rincian Semua Klausul'!$A$4:$H$102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55" i="3" l="1"/>
  <c r="A55" i="3"/>
  <c r="N54" i="3"/>
  <c r="A54" i="3"/>
  <c r="N53" i="3"/>
  <c r="A53" i="3"/>
  <c r="N52" i="3"/>
  <c r="A52" i="3"/>
  <c r="N51" i="3"/>
  <c r="A51" i="3"/>
  <c r="N50" i="3"/>
  <c r="A50" i="3"/>
  <c r="N49" i="3"/>
  <c r="A49" i="3"/>
  <c r="N48" i="3"/>
  <c r="A48" i="3"/>
  <c r="N47" i="3"/>
  <c r="A47" i="3"/>
  <c r="N46" i="3"/>
  <c r="A46" i="3"/>
  <c r="N45" i="3"/>
  <c r="A45" i="3"/>
  <c r="N44" i="3"/>
  <c r="A44" i="3"/>
  <c r="N43" i="3"/>
  <c r="A43" i="3"/>
  <c r="N42" i="3"/>
  <c r="A42" i="3"/>
  <c r="N41" i="3"/>
  <c r="A41" i="3"/>
  <c r="N40" i="3"/>
  <c r="A40" i="3"/>
  <c r="N39" i="3"/>
  <c r="A39" i="3"/>
  <c r="N38" i="3"/>
  <c r="A38" i="3"/>
  <c r="N37" i="3"/>
  <c r="A37" i="3"/>
  <c r="N36" i="3"/>
  <c r="A36" i="3"/>
  <c r="N35" i="3"/>
  <c r="A35" i="3"/>
  <c r="N34" i="3"/>
  <c r="A34" i="3"/>
  <c r="N33" i="3"/>
  <c r="A33" i="3"/>
  <c r="N32" i="3"/>
  <c r="A32" i="3"/>
  <c r="N31" i="3"/>
  <c r="A31" i="3"/>
  <c r="N30" i="3"/>
  <c r="A30" i="3"/>
  <c r="N29" i="3"/>
  <c r="A29" i="3"/>
  <c r="N28" i="3"/>
  <c r="A28" i="3"/>
  <c r="N27" i="3"/>
  <c r="A27" i="3"/>
  <c r="N26" i="3"/>
  <c r="A26" i="3"/>
  <c r="N25" i="3"/>
  <c r="A25" i="3"/>
  <c r="N24" i="3"/>
  <c r="A24" i="3"/>
  <c r="N23" i="3"/>
  <c r="A23" i="3"/>
  <c r="N22" i="3"/>
  <c r="A22" i="3"/>
  <c r="N21" i="3"/>
  <c r="A21" i="3"/>
  <c r="N20" i="3"/>
  <c r="A20" i="3"/>
  <c r="N19" i="3"/>
  <c r="A19" i="3"/>
  <c r="N18" i="3"/>
  <c r="A18" i="3"/>
  <c r="N17" i="3"/>
  <c r="A17" i="3"/>
  <c r="N16" i="3"/>
  <c r="A16" i="3"/>
  <c r="N15" i="3"/>
  <c r="A15" i="3"/>
  <c r="N14" i="3"/>
  <c r="A14" i="3"/>
  <c r="N13" i="3"/>
  <c r="A13" i="3"/>
  <c r="N12" i="3"/>
  <c r="A12" i="3"/>
  <c r="N11" i="3"/>
  <c r="A11" i="3"/>
  <c r="N10" i="3"/>
  <c r="A10" i="3"/>
  <c r="N9" i="3"/>
  <c r="A9" i="3"/>
  <c r="Q8" i="3"/>
  <c r="N8" i="3"/>
  <c r="A8" i="3"/>
  <c r="Q7" i="3"/>
  <c r="N7" i="3"/>
  <c r="A7" i="3"/>
  <c r="Q6" i="3"/>
  <c r="Q9" i="3" s="1"/>
  <c r="Q11" i="3" s="1"/>
  <c r="N6" i="3"/>
  <c r="N11" i="2"/>
  <c r="M11" i="2"/>
  <c r="L11" i="2"/>
  <c r="K11" i="2"/>
  <c r="N10" i="2"/>
  <c r="M10" i="2"/>
  <c r="L10" i="2"/>
  <c r="K10" i="2"/>
  <c r="N9" i="2"/>
  <c r="M9" i="2"/>
  <c r="L9" i="2"/>
  <c r="K9" i="2"/>
  <c r="N8" i="2"/>
  <c r="M8" i="2"/>
  <c r="L8" i="2"/>
  <c r="K8" i="2"/>
  <c r="N7" i="2"/>
  <c r="M7" i="2"/>
  <c r="L7" i="2"/>
  <c r="K7" i="2"/>
  <c r="N6" i="2"/>
  <c r="M6" i="2"/>
  <c r="L6" i="2"/>
  <c r="K6" i="2"/>
  <c r="N5" i="2"/>
  <c r="N12" i="2" s="1"/>
  <c r="M5" i="2"/>
  <c r="M12" i="2" s="1"/>
  <c r="L5" i="2"/>
  <c r="L12" i="2" s="1"/>
  <c r="K5" i="2"/>
  <c r="K12" i="2" s="1"/>
  <c r="Q10" i="3" l="1"/>
</calcChain>
</file>

<file path=xl/sharedStrings.xml><?xml version="1.0" encoding="utf-8"?>
<sst xmlns="http://schemas.openxmlformats.org/spreadsheetml/2006/main" count="850" uniqueCount="513">
  <si>
    <t>Pemetaan Peran Fungsi Human Capital (HC) dalam Audit – PHR Zona Rokan</t>
  </si>
  <si>
    <t>Disusun dari tabel awal + penelusuran sumber publik (Oktober 2026). Kolom 'Status Verifikasi' menunjukkan mana yang sudah dikonfirmasi sumber dan mana yang perlu ditanyakan ke pembimbing.</t>
  </si>
  <si>
    <t>No</t>
  </si>
  <si>
    <t>Jenis Audit</t>
  </si>
  <si>
    <t>Deskripsi Singkat</t>
  </si>
  <si>
    <t>Seluruh Klausul / Elemen Audit (Semua Fungsi)</t>
  </si>
  <si>
    <t>Klausul / Elemen yang Melibatkan HC</t>
  </si>
  <si>
    <t>Bukti yang Disiapkan HC</t>
  </si>
  <si>
    <t>Dasar / Sumber</t>
  </si>
  <si>
    <t>Status Verifikasi</t>
  </si>
  <si>
    <t>Catatan / Perlu Konfirmasi</t>
  </si>
  <si>
    <t>CDM SKK Migas</t>
  </si>
  <si>
    <t>Audit kinerja pengelolaan SDM KKKS oleh SKK Migas.</t>
  </si>
  <si>
    <t>Bagian audit (sesuai tabel awal, perlu konfirmasi checklist resmi):
1. Perencanaan tenaga kerja (manpower planning)
2. Pengembangan kompetensi (IDP, pelatihan, sertifikasi)
3. Succession planning (kaderisasi jabatan)
4. Remunerasi (gaji &amp; benefit)
5. Kesehatan pekerja
6. Kepatuhan regulasi ketenagakerjaan
(Rincian per klausul + fungsi PIC: lihat sheet 'Rincian Semua Klausul')</t>
  </si>
  <si>
    <t>Seluruh elemen (core fungsi HC): manpower planning, IDP pekerja, succession plan, remunerasi.</t>
  </si>
  <si>
    <t>Manpower plan, IDP, matriks kompetensi, succession plan, data remunerasi, rekaman training.</t>
  </si>
  <si>
    <t>Biaya pengembangan tenaga kerja masuk cost recovery (Kontan, 2013); SKK Migas membentuk LSP Hulu Migas (Bisnis.com, 2016).</t>
  </si>
  <si>
    <t>Belum terverifikasi</t>
  </si>
  <si>
    <t>Kepanjangan 'CDM' dan checklist resminya tidak ditemukan di sumber publik. Minta checklist dari pembimbing.</t>
  </si>
  <si>
    <t>ISO SMT (9001, 14001, 45001)</t>
  </si>
  <si>
    <t>Gabungan ISO 9001 (Mutu), ISO 14001 (Lingkungan), ISO 45001 (K3) dalam satu sistem.</t>
  </si>
  <si>
    <t>Bagian audit (klausul 4–10):
4. Konteks organisasi
5. Kepemimpinan
6. Perencanaan (risiko &amp; sasaran)
7. Dukungan (sumber daya, kompetensi, kesadaran, komunikasi, dokumen)
8. Operasi
9. Evaluasi kinerja (pemantauan, audit internal, tinjauan manajemen)
10. Peningkatan (tindakan korektif)
Tahap audit sertifikasi: Tahap 1 (dokumen) → Tahap 2 (penerapan) → surveilan tahunan → resertifikasi
(Rincian per klausul + fungsi PIC: lihat sheet 'Rincian Semua Klausul')</t>
  </si>
  <si>
    <t>5.3 Peran, tanggung jawab &amp; wewenang (struktur organisasi, job description, SK)
7.1.2 SDM (9001)
7.1.6 Pengetahuan organisasi (9001)
7.2 Kompetensi
7.3 Kesadaran
7.5 Informasi terdokumentasi (rekaman training)
5.4 Konsultasi &amp; partisipasi pekerja (45001)
10.2 Tindakan korektif (bila akar masalah kompetensi)</t>
  </si>
  <si>
    <t>Struktur organisasi, job description, matriks kompetensi, sertifikat (BNSP/LSP Migas), rekaman &amp; evaluasi efektivitas training, materi awareness.</t>
  </si>
  <si>
    <t>Struktur klausul standar ISO 9001:2015, ISO 14001:2015, ISO 45001:2018.</t>
  </si>
  <si>
    <t>Terverifikasi</t>
  </si>
  <si>
    <t>Klausul 5.3, 7.1.2, 7.1.6 dan 5.4 adalah tambahan dari tabel awal.</t>
  </si>
  <si>
    <t>Survey LENS</t>
  </si>
  <si>
    <t>Survei untuk mengukur tingkat kematangan budaya keselamatan pekerja.</t>
  </si>
  <si>
    <t>Bagian survei (sesuai tabel awal):
1. Persepsi risiko
2. Keterlibatan manajemen
3. Respon terhadap ketidaksesuaian
4. Keterlibatan pekerja
Hasil biasanya dipetakan ke 5 tingkat budaya keselamatan (model Hudson): Patologis → Reaktif → Kalkulatif → Proaktif → Generatif
(Rincian per klausul + fungsi PIC: lihat sheet 'Rincian Semua Klausul')</t>
  </si>
  <si>
    <t>Keterlibatan pekerja: program safety engagement, pelatihan Behavior-Based Safety, survei budaya kerja.</t>
  </si>
  <si>
    <t>Program engagement, daftar hadir &amp; materi BBS, hasil survei budaya.</t>
  </si>
  <si>
    <t>Ditjen Migas: survei budaya keselamatan adalah tahap sebelum audit SMKM.</t>
  </si>
  <si>
    <t>Sebagian</t>
  </si>
  <si>
    <t>Istilah 'LENS' tidak ditemukan di sumber publik (kemungkinan nama internal). Pastikan PIC: HC atau HSE.</t>
  </si>
  <si>
    <t>Audit K3 PTK-005 SKK Migas (tertulis 'SIAP SELAMAT' di tabel awal)</t>
  </si>
  <si>
    <t>Audit pengelolaan K3LL berdasarkan PTK-005/SKKMA0000/2018/S0 (ditetapkan 5 Juli 2018, Rev. 0).</t>
  </si>
  <si>
    <t>Bagian audit (Bab III PTK-005):
1. Kepemimpinan
2. Rencana kerja &amp; anggaran
3. Kajian &amp; pengendalian risiko
4. Sumber daya manusia
5. Pengelolaan proyek
6. Komunikasi &amp; dokumentasi
7. Pengelolaan aset
8. Pengelolaan rantai suplai
9. Pengendalian operasi (kesehatan, keselamatan, lingkungan, energi)
10. Penanganan keadaan mendesak, darurat &amp; krisis
11. Evaluasi &amp; tinjauan manajemen
(Rincian per klausul + fungsi PIC: lihat sheet 'Rincian Semua Klausul')</t>
  </si>
  <si>
    <t>Bab III butir 4 Sumber Daya Manusia (4.1.1–4.1.5: personel, peran &amp; wewenang, kompetensi, kebutuhan pelatihan, evaluasi efektivitas)
Butir 4.2 Perubahan organisasi &amp; personel wajib disetujui SKK Migas
Bab II 2.3 Insentif K3LL dikoordinasikan dengan fungsi SDM
Butir 3.3.2 Kompetensi sebagai pengendalian risiko
Butir 9.1.1.4 Fitness to work / return to work (bersama medis)
Butir 10.1.1.4 Organisasi tanggap darurat yang kompeten
Butir 11.2 Auditor internal terlatih</t>
  </si>
  <si>
    <t>Matriks pelatihan K3 wajib, TNA terkait risiko K3LL, evaluasi efektivitas training, surat persetujuan SKK Migas atas perubahan organisasi, SK tim tanggap darurat.</t>
  </si>
  <si>
    <t>PTK-005/SKKMA0000/2018/S0 (literasihukum.com).</t>
  </si>
  <si>
    <t>'SIAP SELAMAT' ternyata nama aplikasi SKK Migas (Sistem Informasi Aplikasi Keselamatan Kerja), bukan nama audit. Konfirmasi nama audit resmi &amp; apakah PTK-005 sudah direvisi.</t>
  </si>
  <si>
    <t>Audit PSAIMS</t>
  </si>
  <si>
    <t>Process Safety &amp; Asset Integrity Management System, bagian dari SUPREME Pertamina, untuk mencegah kecelakaan besar (kebakaran, ledakan, kebocoran).</t>
  </si>
  <si>
    <t>Bagian audit (elemen umum keselamatan proses; daftar versi PHR perlu dikonfirmasi):
1. Partisipasi pekerja
2. Informasi keselamatan proses
3. Analisis bahaya proses (HAZOP dll.)
4. Prosedur operasi
5. Pelatihan &amp; kompetensi
6. Manajemen kontraktor
7. Pre-startup safety review
8. Integritas mekanis / integritas aset
9. Izin kerja aman
10. Management of Change (MOC)
11. Investigasi insiden
12. Tanggap darurat
13. Audit kepatuhan
(Rincian per klausul + fungsi PIC: lihat sheet 'Rincian Semua Klausul')</t>
  </si>
  <si>
    <t>Elemen Pelatihan &amp; Kompetensi; Management of Change untuk perubahan organisasi; fitness for duty; keterlibatan pekerja.</t>
  </si>
  <si>
    <t>Sertifikasi operator/teknisi/engineer kritikal, matriks kompetensi posisi kritikal, MOC organisasi.</t>
  </si>
  <si>
    <t>Pertamina Sustainability Insight Mei 2024: pengembangan PSAIMS mencakup pelatihan di semua level pekerja.</t>
  </si>
  <si>
    <t>Klaim '18 elemen' tidak ditemukan di sumber publik. Minta dokumen PSAIMS versi PHR.</t>
  </si>
  <si>
    <t>ISO 50001 (SME)</t>
  </si>
  <si>
    <t>Sistem Manajemen Energi untuk menggunakan energi secara efisien dan hemat biaya.</t>
  </si>
  <si>
    <t>Bagian audit (klausul 4–10):
4. Konteks organisasi
5. Kepemimpinan (kebijakan energi, tim energi)
6. Perencanaan (tinjauan energi, baseline energi, EnPI, target)
7. Dukungan (kompetensi, kesadaran, komunikasi, dokumen)
8. Operasi (pengendalian operasi, desain, pengadaan)
9. Evaluasi kinerja (pengukuran, audit internal, tinjauan manajemen)
10. Peningkatan
(Rincian per klausul + fungsi PIC: lihat sheet 'Rincian Semua Klausul')</t>
  </si>
  <si>
    <t>5.3 Peran &amp; wewenang (SK tim energi)
7.2 Kompetensi
7.3 Kesadaran / budaya hemat energi</t>
  </si>
  <si>
    <t>SK tim energi, sertifikat pelatihan manajer/auditor energi, materi sosialisasi hemat energi.</t>
  </si>
  <si>
    <t>Struktur klausul ISO 50001:2018; PTK-005 butir 9.3 Manajemen Energi.</t>
  </si>
  <si>
    <t>Klausul 5.3 adalah tambahan dari tabel awal.</t>
  </si>
  <si>
    <t>Audit Survey / CSMS</t>
  </si>
  <si>
    <t>Pengelolaan K3LL Mitra Kerja/kontraktor (CSMS), diatur di PTK-005 Bab IV.</t>
  </si>
  <si>
    <t>Bagian audit / tahapan:
1. Penilaian Risiko pekerjaan
2. Penilaian Kualifikasi (PK)
3. Seleksi
4. Penilaian Sebelum Bekerja (PSB)
5. Penilaian Berjalan (PB)
6. Penilaian Akhir (PA)
(Rincian per klausul + fungsi PIC: lihat sheet 'Rincian Semua Klausul')</t>
  </si>
  <si>
    <t>Pendukung: verifikasi kualifikasi personel kunci kontraktor bila diminta, data tenaga kerja lokal.</t>
  </si>
  <si>
    <t>Sesuai permintaan fungsi pemilik CSMS.</t>
  </si>
  <si>
    <t>PTK-005 Bab IV: tim auditor terdiri dari penanggung jawab kontrak, fungsi K3LL, fungsi Rantai Suplai.</t>
  </si>
  <si>
    <t>HC tidak disebut sebagai auditor CSMS di PTK-005. Jangan ambil temuan yang bukan milik HC.</t>
  </si>
  <si>
    <t>Rincian Seluruh Klausul / Elemen Audit – Semua Fungsi</t>
  </si>
  <si>
    <t>Berisi SEMUA klausul/elemen tiap audit (bukan hanya HC). Kolom 'Fungsi PIC Utama' adalah perkiraan umum – sesuaikan dengan pembagian tugas di PHR. Keterlibatan HC: Utama = HC pemilik/penanggung jawab bukti; Pendukung = HC menyediakan sebagian bukti; Tidak langsung = bukan urusan HC. Gunakan filter di baris judul.</t>
  </si>
  <si>
    <t>No. Klausul / Elemen</t>
  </si>
  <si>
    <t>Nama Klausul / Elemen</t>
  </si>
  <si>
    <t>Isi yang Diperiksa</t>
  </si>
  <si>
    <t>Fungsi PIC Utama (perkiraan)</t>
  </si>
  <si>
    <t>Keterlibatan HC</t>
  </si>
  <si>
    <t>Peran HC</t>
  </si>
  <si>
    <t>Total Klausul</t>
  </si>
  <si>
    <t>HC Utama</t>
  </si>
  <si>
    <t>HC Pendukung</t>
  </si>
  <si>
    <t>Tidak langsung</t>
  </si>
  <si>
    <t>1</t>
  </si>
  <si>
    <t>Perencanaan tenaga kerja</t>
  </si>
  <si>
    <t>Kebutuhan jumlah &amp; kualifikasi pekerja, rencana rekrutmen</t>
  </si>
  <si>
    <t>HC</t>
  </si>
  <si>
    <t>Utama</t>
  </si>
  <si>
    <t>Menyusun manpower plan</t>
  </si>
  <si>
    <t>2</t>
  </si>
  <si>
    <t>Pengembangan kompetensi</t>
  </si>
  <si>
    <t>IDP, program pelatihan, sertifikasi pekerja</t>
  </si>
  <si>
    <t>Menyusun IDP &amp; program pelatihan</t>
  </si>
  <si>
    <t>ISO SMT</t>
  </si>
  <si>
    <t>3</t>
  </si>
  <si>
    <t>Succession planning</t>
  </si>
  <si>
    <t>Kaderisasi &amp; calon pengganti jabatan kunci</t>
  </si>
  <si>
    <t>Menyusun talent pool &amp; succession plan</t>
  </si>
  <si>
    <t>4</t>
  </si>
  <si>
    <t>Remunerasi</t>
  </si>
  <si>
    <t>Struktur gaji, benefit, kesesuaian dengan persetujuan SKK Migas</t>
  </si>
  <si>
    <t>Menyiapkan data &amp; kebijakan remunerasi</t>
  </si>
  <si>
    <t>Audit K3 PTK-005</t>
  </si>
  <si>
    <t>5</t>
  </si>
  <si>
    <t>Kesehatan pekerja</t>
  </si>
  <si>
    <t>Pemeriksaan kesehatan &amp; program kesehatan pekerja</t>
  </si>
  <si>
    <t>Medis / HC</t>
  </si>
  <si>
    <t>Koordinasi data kesehatan pekerja</t>
  </si>
  <si>
    <t>PSAIMS</t>
  </si>
  <si>
    <t>6</t>
  </si>
  <si>
    <t>Kepatuhan</t>
  </si>
  <si>
    <t>Kepatuhan pada regulasi ketenagakerjaan &amp; ketentuan SKK Migas</t>
  </si>
  <si>
    <t>HC / Legal</t>
  </si>
  <si>
    <t>Bukti kepatuhan administrasi SDM</t>
  </si>
  <si>
    <t>ISO 50001</t>
  </si>
  <si>
    <t>4.1</t>
  </si>
  <si>
    <t>Memahami organisasi &amp; konteksnya</t>
  </si>
  <si>
    <t>Isu internal &amp; eksternal yang memengaruhi sistem</t>
  </si>
  <si>
    <t>Sistem Manajemen / QM</t>
  </si>
  <si>
    <t>-</t>
  </si>
  <si>
    <t>4.2</t>
  </si>
  <si>
    <t>Kebutuhan &amp; harapan pihak berkepentingan</t>
  </si>
  <si>
    <t>Daftar stakeholder dan persyaratannya (termasuk pekerja)</t>
  </si>
  <si>
    <t>Pendukung</t>
  </si>
  <si>
    <t>Masukan kebutuhan pekerja</t>
  </si>
  <si>
    <t>TOTAL</t>
  </si>
  <si>
    <t>4.3</t>
  </si>
  <si>
    <t>Ruang lingkup sistem manajemen</t>
  </si>
  <si>
    <t>Batasan lokasi, proses, dan produk/jasa</t>
  </si>
  <si>
    <t>4.4</t>
  </si>
  <si>
    <t>Sistem manajemen &amp; prosesnya</t>
  </si>
  <si>
    <t>Peta proses dan interaksinya</t>
  </si>
  <si>
    <t>Proses HC masuk peta proses</t>
  </si>
  <si>
    <t>5.1</t>
  </si>
  <si>
    <t>Kepemimpinan &amp; komitmen</t>
  </si>
  <si>
    <t>Komitmen pimpinan pada mutu, lingkungan, K3</t>
  </si>
  <si>
    <t>Manajemen</t>
  </si>
  <si>
    <t>5.2</t>
  </si>
  <si>
    <t>Kebijakan</t>
  </si>
  <si>
    <t>Kebijakan mutu/lingkungan/K3 ditetapkan &amp; dikomunikasikan</t>
  </si>
  <si>
    <t>Manajemen / QM</t>
  </si>
  <si>
    <t>Sosialisasi kebijakan ke pekerja</t>
  </si>
  <si>
    <t>5.3</t>
  </si>
  <si>
    <t>Peran, tanggung jawab &amp; wewenang</t>
  </si>
  <si>
    <t>Struktur organisasi, job description, SK penunjukan</t>
  </si>
  <si>
    <t>Manajemen / HC</t>
  </si>
  <si>
    <t>Struktur organisasi, job description, SK</t>
  </si>
  <si>
    <t>5.4</t>
  </si>
  <si>
    <t>Konsultasi &amp; partisipasi pekerja (45001)</t>
  </si>
  <si>
    <t>Keterlibatan pekerja dalam K3 (P2K3, forum pekerja)</t>
  </si>
  <si>
    <t>HSE</t>
  </si>
  <si>
    <t>Koordinasi dengan serikat/perwakilan pekerja</t>
  </si>
  <si>
    <t>6.1</t>
  </si>
  <si>
    <t>Tindakan menangani risiko &amp; peluang</t>
  </si>
  <si>
    <t>Register risiko; aspek lingkungan (14001); identifikasi bahaya (45001); persyaratan hukum</t>
  </si>
  <si>
    <t>HSE / QM / Manajemen Risiko</t>
  </si>
  <si>
    <t>Risiko terkait SDM (kekurangan personel kompeten)</t>
  </si>
  <si>
    <t>6.2</t>
  </si>
  <si>
    <t>Sasaran &amp; perencanaan pencapaiannya</t>
  </si>
  <si>
    <t>Sasaran terukur per fungsi dan program kerjanya</t>
  </si>
  <si>
    <t>Semua fungsi</t>
  </si>
  <si>
    <t>Sasaran fungsi HC</t>
  </si>
  <si>
    <t>6.3</t>
  </si>
  <si>
    <t>Perencanaan perubahan (9001)</t>
  </si>
  <si>
    <t>Perubahan sistem dilakukan terencana</t>
  </si>
  <si>
    <t>Perubahan organisasi</t>
  </si>
  <si>
    <t>7.1.1</t>
  </si>
  <si>
    <t>Sumber daya – umum</t>
  </si>
  <si>
    <t>Ketersediaan sumber daya untuk sistem</t>
  </si>
  <si>
    <t>7.1.2</t>
  </si>
  <si>
    <t>Sumber daya – orang (9001)</t>
  </si>
  <si>
    <t>Kecukupan jumlah pekerja</t>
  </si>
  <si>
    <t>Manpower planning</t>
  </si>
  <si>
    <t>7.1.3</t>
  </si>
  <si>
    <t>Infrastruktur (9001)</t>
  </si>
  <si>
    <t>Gedung, peralatan, sistem TI</t>
  </si>
  <si>
    <t>Engineering / Maintenance / TI</t>
  </si>
  <si>
    <t>7.1.4</t>
  </si>
  <si>
    <t>Lingkungan untuk operasi proses (9001)</t>
  </si>
  <si>
    <t>Kondisi kerja fisik &amp; psikososial</t>
  </si>
  <si>
    <t>HSE / Operasi</t>
  </si>
  <si>
    <t>Faktor psikososial pekerja</t>
  </si>
  <si>
    <t>7.1.5</t>
  </si>
  <si>
    <t>Sumber daya pemantauan &amp; pengukuran (9001)</t>
  </si>
  <si>
    <t>Kalibrasi alat ukur</t>
  </si>
  <si>
    <t>Maintenance / QC</t>
  </si>
  <si>
    <t>7.1.6</t>
  </si>
  <si>
    <t>Pengetahuan organisasi (9001)</t>
  </si>
  <si>
    <t>Knowledge management, transfer pengetahuan</t>
  </si>
  <si>
    <t>Program knowledge sharing &amp; transfer</t>
  </si>
  <si>
    <t>7.2</t>
  </si>
  <si>
    <t>Kompetensi</t>
  </si>
  <si>
    <t>Persyaratan kompetensi, pelatihan, sertifikasi, evaluasi efektivitas</t>
  </si>
  <si>
    <t>Matriks kompetensi, training, sertifikat</t>
  </si>
  <si>
    <t>7.3</t>
  </si>
  <si>
    <t>Kesadaran</t>
  </si>
  <si>
    <t>Pekerja paham kebijakan, sasaran, dan perannya</t>
  </si>
  <si>
    <t>HC / HSE</t>
  </si>
  <si>
    <t>Program awareness &amp; induksi</t>
  </si>
  <si>
    <t>7.4</t>
  </si>
  <si>
    <t>Komunikasi</t>
  </si>
  <si>
    <t>Komunikasi internal &amp; eksternal</t>
  </si>
  <si>
    <t>Communication &amp; Relations</t>
  </si>
  <si>
    <t>Komunikasi ke pekerja</t>
  </si>
  <si>
    <t>7.5</t>
  </si>
  <si>
    <t>Informasi terdokumentasi</t>
  </si>
  <si>
    <t>Pengendalian dokumen &amp; rekaman</t>
  </si>
  <si>
    <t>Sistem Manajemen / Document Control</t>
  </si>
  <si>
    <t>Rekaman training &amp; data pekerja</t>
  </si>
  <si>
    <t>8.1</t>
  </si>
  <si>
    <t>Perencanaan &amp; pengendalian operasi</t>
  </si>
  <si>
    <t>SOP, pengendalian proses; hierarki pengendalian &amp; pengelolaan perubahan (45001)</t>
  </si>
  <si>
    <t>Operasi</t>
  </si>
  <si>
    <t>8.1.4</t>
  </si>
  <si>
    <t>Pengadaan, kontraktor &amp; outsourcing (45001)</t>
  </si>
  <si>
    <t>Pengendalian K3 kontraktor</t>
  </si>
  <si>
    <t>SCM / HSE</t>
  </si>
  <si>
    <t>Data tenaga kerja kontraktor bila diminta</t>
  </si>
  <si>
    <t>8.2</t>
  </si>
  <si>
    <t>Persyaratan produk/jasa (9001) · Tanggap darurat (14001/45001)</t>
  </si>
  <si>
    <t>Komunikasi pelanggan; rencana &amp; latihan tanggap darurat</t>
  </si>
  <si>
    <t>Operasi / HSE</t>
  </si>
  <si>
    <t>Pelatihan tim tanggap darurat</t>
  </si>
  <si>
    <t>8.3</t>
  </si>
  <si>
    <t>Desain &amp; pengembangan (9001)</t>
  </si>
  <si>
    <t>Proses desain produk/jasa</t>
  </si>
  <si>
    <t>Engineering</t>
  </si>
  <si>
    <t>8.4</t>
  </si>
  <si>
    <t>Penyedia eksternal (9001)</t>
  </si>
  <si>
    <t>Seleksi &amp; evaluasi vendor</t>
  </si>
  <si>
    <t>SCM</t>
  </si>
  <si>
    <t>8.5</t>
  </si>
  <si>
    <t>Produksi &amp; penyediaan jasa (9001)</t>
  </si>
  <si>
    <t>Pelaksanaan operasi terkendali</t>
  </si>
  <si>
    <t>8.6</t>
  </si>
  <si>
    <t>Pelepasan produk/jasa (9001)</t>
  </si>
  <si>
    <t>Verifikasi sebelum diserahkan</t>
  </si>
  <si>
    <t>Operasi / QC</t>
  </si>
  <si>
    <t>8.7</t>
  </si>
  <si>
    <t>Pengendalian output tidak sesuai (9001)</t>
  </si>
  <si>
    <t>Penanganan produk tidak sesuai</t>
  </si>
  <si>
    <t>9.1</t>
  </si>
  <si>
    <t>Pemantauan, pengukuran, analisis &amp; evaluasi</t>
  </si>
  <si>
    <t>KPI, evaluasi kepatuhan, kepuasan pelanggan</t>
  </si>
  <si>
    <t>Semua fungsi / QM</t>
  </si>
  <si>
    <t>KPI fungsi HC</t>
  </si>
  <si>
    <t>9.2</t>
  </si>
  <si>
    <t>Audit internal</t>
  </si>
  <si>
    <t>Program &amp; pelaksanaan audit internal</t>
  </si>
  <si>
    <t>Pelatihan &amp; kompetensi auditor internal</t>
  </si>
  <si>
    <t>9.3</t>
  </si>
  <si>
    <t>Tinjauan manajemen</t>
  </si>
  <si>
    <t>Rapat tinjauan oleh pimpinan</t>
  </si>
  <si>
    <t>Laporan kinerja HC</t>
  </si>
  <si>
    <t>10.2</t>
  </si>
  <si>
    <t>Ketidaksesuaian &amp; tindakan korektif</t>
  </si>
  <si>
    <t>Penanganan temuan &amp; insiden</t>
  </si>
  <si>
    <t>Tindakan korektif bila akar masalah kompetensi</t>
  </si>
  <si>
    <t>10.3</t>
  </si>
  <si>
    <t>Peningkatan berkelanjutan</t>
  </si>
  <si>
    <t>Perbaikan sistem secara terus-menerus</t>
  </si>
  <si>
    <t>Perbaikan proses HC</t>
  </si>
  <si>
    <t>Persepsi risiko</t>
  </si>
  <si>
    <t>Pemahaman pekerja tentang bahaya &amp; risiko kerja</t>
  </si>
  <si>
    <t>Materi pelatihan risiko</t>
  </si>
  <si>
    <t>Keterlibatan manajemen</t>
  </si>
  <si>
    <t>Kehadiran &amp; teladan pimpinan dalam keselamatan</t>
  </si>
  <si>
    <t>Manajemen / HSE</t>
  </si>
  <si>
    <t>Program kepemimpinan keselamatan</t>
  </si>
  <si>
    <t>Respon terhadap ketidaksesuaian</t>
  </si>
  <si>
    <t>Cara organisasi menangani pelanggaran &amp; pelaporan</t>
  </si>
  <si>
    <t>Konsekuensi &amp; penghargaan (consequence management)</t>
  </si>
  <si>
    <t>Keterlibatan pekerja</t>
  </si>
  <si>
    <t>Partisipasi pekerja dalam program keselamatan</t>
  </si>
  <si>
    <t>HSE / HC</t>
  </si>
  <si>
    <t>Safety engagement, BBS, survei budaya</t>
  </si>
  <si>
    <t>III.1</t>
  </si>
  <si>
    <t>Kepemimpinan</t>
  </si>
  <si>
    <t>Komitmen pimpinan, kebijakan K3LL, sasaran &amp; program</t>
  </si>
  <si>
    <t>Penghargaan &amp; konsekuensi kinerja K3LL</t>
  </si>
  <si>
    <t>III.2</t>
  </si>
  <si>
    <t>Rencana kerja &amp; anggaran</t>
  </si>
  <si>
    <t>Rencana umum K3LL, target kinerja, WP&amp;B, asuransi</t>
  </si>
  <si>
    <t>HSE / Perencanaan</t>
  </si>
  <si>
    <t>Asuransi personel; susunan organisasi pelaksana</t>
  </si>
  <si>
    <t>III.3</t>
  </si>
  <si>
    <t>Kajian &amp; pengendalian risiko</t>
  </si>
  <si>
    <t>Identifikasi, analisis, perlakuan risiko; pengelolaan perubahan</t>
  </si>
  <si>
    <t>Kompetensi &amp; kesadaran sebagai pengendalian risiko (3.3.2–3.3.3)</t>
  </si>
  <si>
    <t>III.4</t>
  </si>
  <si>
    <t>Sumber daya manusia</t>
  </si>
  <si>
    <t>Personel, peran &amp; wewenang, kompetensi, kebutuhan pelatihan, evaluasi efektivitas; perubahan organisasi disetujui SKK Migas</t>
  </si>
  <si>
    <t>Pemilik utama butir 4.1 &amp; 4.2</t>
  </si>
  <si>
    <t>III.5</t>
  </si>
  <si>
    <t>Pengelolaan proyek</t>
  </si>
  <si>
    <t>K3LL di tahap studi konseptual, FEED, konstruksi</t>
  </si>
  <si>
    <t>Project / Engineering</t>
  </si>
  <si>
    <t>Aspek ketenagakerjaan proyek (5.3.7)</t>
  </si>
  <si>
    <t>III.6</t>
  </si>
  <si>
    <t>Komunikasi &amp; dokumentasi</t>
  </si>
  <si>
    <t>Komunikasi internal/eksternal, pelaporan, kelompok kerja K3LL, dokumentasi</t>
  </si>
  <si>
    <t>HSE / Communication</t>
  </si>
  <si>
    <t>Partisipasi pekerja di kelompok kerja jadi nilai tambah penilaian kinerja</t>
  </si>
  <si>
    <t>III.7</t>
  </si>
  <si>
    <t>Pengelolaan aset</t>
  </si>
  <si>
    <t>Perencanaan, pengelolaan, pemanfaatan, penghapusan aset</t>
  </si>
  <si>
    <t>Asset Management / SCM</t>
  </si>
  <si>
    <t>III.8</t>
  </si>
  <si>
    <t>Pengelolaan rantai suplai</t>
  </si>
  <si>
    <t>Pemilihan &amp; pengawasan mitra kerja</t>
  </si>
  <si>
    <t>III.9</t>
  </si>
  <si>
    <t>Pengendalian operasi</t>
  </si>
  <si>
    <t>Kesehatan kerja, higiene industri, keselamatan kerja, lingkungan, manajemen energi</t>
  </si>
  <si>
    <t>HSE / Medis / Operasi</t>
  </si>
  <si>
    <t>Fitness to work, return to work (bersama medis)</t>
  </si>
  <si>
    <t>III.10</t>
  </si>
  <si>
    <t>Keadaan mendesak, darurat &amp; krisis</t>
  </si>
  <si>
    <t>ERP, CMP, BCP, organisasi tanggap darurat, latihan</t>
  </si>
  <si>
    <t>Organisasi &amp; pelatihan tim tanggap darurat</t>
  </si>
  <si>
    <t>III.11</t>
  </si>
  <si>
    <t>Evaluasi &amp; tinjauan manajemen</t>
  </si>
  <si>
    <t>Evaluasi program, audit, tinjauan manajemen, tindakan perbaikan</t>
  </si>
  <si>
    <t>HSE / Manajemen</t>
  </si>
  <si>
    <t>Kompetensi auditor internal</t>
  </si>
  <si>
    <t>Partisipasi pekerja</t>
  </si>
  <si>
    <t>Keterlibatan pekerja dalam keselamatan proses</t>
  </si>
  <si>
    <t>Mekanisme keterlibatan pekerja</t>
  </si>
  <si>
    <t>Informasi keselamatan proses</t>
  </si>
  <si>
    <t>Data bahan, teknologi, dan peralatan proses</t>
  </si>
  <si>
    <t>Engineering / Process Safety</t>
  </si>
  <si>
    <t>Analisis bahaya proses</t>
  </si>
  <si>
    <t>HAZOP, HAZID, LOPA</t>
  </si>
  <si>
    <t>Process Safety</t>
  </si>
  <si>
    <t>Prosedur operasi</t>
  </si>
  <si>
    <t>SOP startup, normal, shutdown, darurat</t>
  </si>
  <si>
    <t>Pelatihan &amp; kompetensi</t>
  </si>
  <si>
    <t>Pelatihan &amp; sertifikasi operator, teknisi, engineer</t>
  </si>
  <si>
    <t>HC / Operasi</t>
  </si>
  <si>
    <t>Matriks kompetensi posisi kritikal, sertifikasi</t>
  </si>
  <si>
    <t>Manajemen kontraktor</t>
  </si>
  <si>
    <t>Kualifikasi &amp; pengawasan kontraktor proses</t>
  </si>
  <si>
    <t>7</t>
  </si>
  <si>
    <t>Pre-startup safety review</t>
  </si>
  <si>
    <t>Pemeriksaan sebelum fasilitas dioperasikan</t>
  </si>
  <si>
    <t>Operasi / Engineering</t>
  </si>
  <si>
    <t>8</t>
  </si>
  <si>
    <t>Integritas mekanis / integritas aset</t>
  </si>
  <si>
    <t>Inspeksi, pengujian, pemeliharaan peralatan kritikal</t>
  </si>
  <si>
    <t>Maintenance / Asset Integrity</t>
  </si>
  <si>
    <t>9</t>
  </si>
  <si>
    <t>Izin kerja aman</t>
  </si>
  <si>
    <t>Sistem izin kerja (SIKA)</t>
  </si>
  <si>
    <t>Kompetensi pemberi &amp; penerima izin</t>
  </si>
  <si>
    <t>10</t>
  </si>
  <si>
    <t>Management of Change (MOC)</t>
  </si>
  <si>
    <t>Pengendalian perubahan teknis &amp; organisasi</t>
  </si>
  <si>
    <t>Engineering / Operasi</t>
  </si>
  <si>
    <t>MOC organisasi (rotasi, reorganisasi, manning)</t>
  </si>
  <si>
    <t>11</t>
  </si>
  <si>
    <t>Investigasi insiden</t>
  </si>
  <si>
    <t>Investigasi &amp; tindak lanjut insiden proses</t>
  </si>
  <si>
    <t>Tindak lanjut bila akar masalah kompetensi</t>
  </si>
  <si>
    <t>12</t>
  </si>
  <si>
    <t>Tanggap darurat</t>
  </si>
  <si>
    <t>Rencana &amp; latihan tanggap darurat</t>
  </si>
  <si>
    <t>13</t>
  </si>
  <si>
    <t>Audit kepatuhan</t>
  </si>
  <si>
    <t>Audit berkala penerapan PSAIMS</t>
  </si>
  <si>
    <t>Process Safety / HSE</t>
  </si>
  <si>
    <t>4.1–4.4</t>
  </si>
  <si>
    <t>Konteks organisasi</t>
  </si>
  <si>
    <t>Isu, pihak berkepentingan, ruang lingkup &amp; batas sistem energi</t>
  </si>
  <si>
    <t>Tim Energi / Sistem Manajemen</t>
  </si>
  <si>
    <t>Komitmen pimpinan pada kinerja energi</t>
  </si>
  <si>
    <t>Kebijakan energi</t>
  </si>
  <si>
    <t>Kebijakan energi ditetapkan &amp; dikomunikasikan</t>
  </si>
  <si>
    <t>Manajemen / Tim Energi</t>
  </si>
  <si>
    <t>Penetapan tim manajemen energi</t>
  </si>
  <si>
    <t>SK tim energi</t>
  </si>
  <si>
    <t>Risiko &amp; peluang</t>
  </si>
  <si>
    <t>Risiko &amp; peluang terkait energi</t>
  </si>
  <si>
    <t>Tim Energi</t>
  </si>
  <si>
    <t>Sasaran, target energi &amp; rencana aksi</t>
  </si>
  <si>
    <t>Target penghematan energi dan rencana aksinya</t>
  </si>
  <si>
    <t>Tinjauan energi</t>
  </si>
  <si>
    <t>Analisis penggunaan energi &amp; penggunaan energi signifikan (SEU)</t>
  </si>
  <si>
    <t>Tim Energi / Engineering</t>
  </si>
  <si>
    <t>6.4</t>
  </si>
  <si>
    <t>Indikator kinerja energi (EnPI)</t>
  </si>
  <si>
    <t>Indikator untuk mengukur kinerja energi</t>
  </si>
  <si>
    <t>6.5</t>
  </si>
  <si>
    <t>Baseline energi (EnB)</t>
  </si>
  <si>
    <t>Acuan pembanding konsumsi energi</t>
  </si>
  <si>
    <t>6.6</t>
  </si>
  <si>
    <t>Perencanaan pengumpulan data energi</t>
  </si>
  <si>
    <t>Pengukuran &amp; pencatatan data energi</t>
  </si>
  <si>
    <t>Tim Energi / Operasi</t>
  </si>
  <si>
    <t>7.1</t>
  </si>
  <si>
    <t>Sumber daya</t>
  </si>
  <si>
    <t>Ketersediaan sumber daya</t>
  </si>
  <si>
    <t>Kompetensi personel yang memengaruhi kinerja energi</t>
  </si>
  <si>
    <t>Pelatihan manajer/auditor energi</t>
  </si>
  <si>
    <t>Pekerja paham kebijakan &amp; perannya dalam hemat energi</t>
  </si>
  <si>
    <t>HC / Tim Energi</t>
  </si>
  <si>
    <t>Kampanye budaya hemat energi</t>
  </si>
  <si>
    <t>Komunikasi internal &amp; eksternal terkait energi</t>
  </si>
  <si>
    <t>Tim Energi / Communication</t>
  </si>
  <si>
    <t>Saluran komunikasi ke pekerja</t>
  </si>
  <si>
    <t>Pengendalian dokumen &amp; rekaman energi</t>
  </si>
  <si>
    <t>Tim Energi / Document Control</t>
  </si>
  <si>
    <t>Rekaman pelatihan</t>
  </si>
  <si>
    <t>Pengendalian operasi pada SEU</t>
  </si>
  <si>
    <t>Desain</t>
  </si>
  <si>
    <t>Pertimbangan efisiensi energi dalam desain</t>
  </si>
  <si>
    <t>Pengadaan</t>
  </si>
  <si>
    <t>Kriteria efisiensi energi dalam pengadaan</t>
  </si>
  <si>
    <t>Pemantauan &amp; evaluasi kinerja energi</t>
  </si>
  <si>
    <t>Pengukuran EnPI &amp; kepatuhan</t>
  </si>
  <si>
    <t>Audit internal sistem energi</t>
  </si>
  <si>
    <t>Tim Energi / QM</t>
  </si>
  <si>
    <t>Tinjauan kinerja energi oleh pimpinan</t>
  </si>
  <si>
    <t>10.1</t>
  </si>
  <si>
    <t>Penanganan temuan</t>
  </si>
  <si>
    <t>Bila akar masalah kompetensi</t>
  </si>
  <si>
    <t>Perbaikan kinerja energi</t>
  </si>
  <si>
    <t>IV.1</t>
  </si>
  <si>
    <t>Penilaian Risiko</t>
  </si>
  <si>
    <t>Kategori risiko pekerjaan (Rendah/Sedang/Tinggi) via CIVD</t>
  </si>
  <si>
    <t>Pengguna jasa / HSE</t>
  </si>
  <si>
    <t>IV.2</t>
  </si>
  <si>
    <t>Penilaian Kualifikasi (PK)</t>
  </si>
  <si>
    <t>Kualifikasi K3LL calon mitra sebelum tender</t>
  </si>
  <si>
    <t>HSE / SCM</t>
  </si>
  <si>
    <t>IV.3</t>
  </si>
  <si>
    <t>Seleksi</t>
  </si>
  <si>
    <t>Rencana K3LL &amp; komitmen K3LL peserta tender</t>
  </si>
  <si>
    <t>IV.4</t>
  </si>
  <si>
    <t>Penilaian Sebelum Bekerja (PSB)</t>
  </si>
  <si>
    <t>Rapat awal &amp; kesiapan mobilisasi mitra</t>
  </si>
  <si>
    <t>Penanggung jawab kontrak</t>
  </si>
  <si>
    <t>Verifikasi personel kunci kontraktor bila diminta</t>
  </si>
  <si>
    <t>IV.5</t>
  </si>
  <si>
    <t>Penilaian Berjalan (PB)</t>
  </si>
  <si>
    <t>Penilaian pelaksanaan K3LL selama pekerjaan</t>
  </si>
  <si>
    <t>Penanggung jawab kontrak / HSE</t>
  </si>
  <si>
    <t>IV.6</t>
  </si>
  <si>
    <t>Penilaian Akhir (PA)</t>
  </si>
  <si>
    <t>Evaluasi kinerja K3LL di akhir kontrak</t>
  </si>
  <si>
    <t>Penanggung jawab kontrak / HSE / SCM</t>
  </si>
  <si>
    <t>IV.8</t>
  </si>
  <si>
    <t>Kompetensi Auditor Kualifikasi K3LL</t>
  </si>
  <si>
    <t>Auditor bersertifikat LSP</t>
  </si>
  <si>
    <t>Fasilitasi sertifikasi auditor (pelatihan)</t>
  </si>
  <si>
    <t>Tracker Follow Up Temuan Audit – Fungsi HC</t>
  </si>
  <si>
    <t>Cara isi: isi sel berwarna kuning mulai baris 7. Baris 6 (hijau) adalah CONTOH, boleh dihapus. Kolom 'Sisa Hari' dan ringkasan status terhitung otomatis.</t>
  </si>
  <si>
    <t>No. Temuan</t>
  </si>
  <si>
    <t>Klausul / Elemen</t>
  </si>
  <si>
    <t>Deskripsi Temuan</t>
  </si>
  <si>
    <t>Kategori</t>
  </si>
  <si>
    <t>Akar Masalah</t>
  </si>
  <si>
    <t>Tindakan Perbaikan</t>
  </si>
  <si>
    <t>PIC</t>
  </si>
  <si>
    <t>Target Selesai</t>
  </si>
  <si>
    <t>Bukti Penutupan</t>
  </si>
  <si>
    <t>Status</t>
  </si>
  <si>
    <t>Tanggal Closed</t>
  </si>
  <si>
    <t>Sisa Hari</t>
  </si>
  <si>
    <t>Ringkasan Status</t>
  </si>
  <si>
    <t>Jumlah</t>
  </si>
  <si>
    <t>K3-2026-01</t>
  </si>
  <si>
    <t>PTK-005 Bab III 4.1.5</t>
  </si>
  <si>
    <t>Belum ada evaluasi efektivitas pelatihan K3 wajib untuk pekerja lapangan.</t>
  </si>
  <si>
    <t>Minor</t>
  </si>
  <si>
    <t>Prosedur training belum mensyaratkan evaluasi pasca-pelatihan.</t>
  </si>
  <si>
    <t>Tambahkan evaluasi level 3 (perilaku) di prosedur training; lakukan evaluasi untuk batch 2026.</t>
  </si>
  <si>
    <t>HC Learning</t>
  </si>
  <si>
    <t>Prosedur revisi + laporan evaluasi efektivitas</t>
  </si>
  <si>
    <t>In Progress</t>
  </si>
  <si>
    <t>Open</t>
  </si>
  <si>
    <t>Closed</t>
  </si>
  <si>
    <t>Total temuan</t>
  </si>
  <si>
    <t>Lewat target (belum Closed)</t>
  </si>
  <si>
    <t>% Closed</t>
  </si>
  <si>
    <t>Hal yang Perlu Dikonfirmasi ke Pembimbing</t>
  </si>
  <si>
    <t>Pertanyaan</t>
  </si>
  <si>
    <t>Alasan</t>
  </si>
  <si>
    <t>Jawaban</t>
  </si>
  <si>
    <t>Apa kepanjangan 'CDM' dan boleh minta checklist/instrumen resminya?</t>
  </si>
  <si>
    <t>Tidak ada sumber publik yang menjelaskan CDM SKK Migas.</t>
  </si>
  <si>
    <t>Apa kepanjangan 'LENS' dan siapa PIC programnya (HC atau HSE)?</t>
  </si>
  <si>
    <t>Istilah LENS tidak ditemukan di sumber publik; kemungkinan istilah internal.</t>
  </si>
  <si>
    <t>Apa nama resmi audit yang di tabel ditulis 'SIAP SELAMAT'? Apakah acuannya PTK-005/SKKMA0000/2018/S0 atau revisi yang lebih baru?</t>
  </si>
  <si>
    <t>SIAP SELAMAT adalah nama aplikasi SKK Migas, bukan nama audit. PTK-005 yang ditemukan adalah Revisi 0 (2018).</t>
  </si>
  <si>
    <t>Boleh minta daftar elemen PSAIMS versi PHR?</t>
  </si>
  <si>
    <t>Jumlah '18 elemen' belum bisa dikonfirmasi dari sumber publik.</t>
  </si>
  <si>
    <t>Apakah HC punya temuan di CSMS, atau hanya pendukung?</t>
  </si>
  <si>
    <t>PTK-005 Bab IV tidak menyebut HC sebagai tim auditor CSMS.</t>
  </si>
  <si>
    <t>Boleh minta daftar temuan audit terakhir yang terkait HC untuk diisi ke tracker?</t>
  </si>
  <si>
    <t>Tracker siap diisi begitu daftar temuan tersedia.</t>
  </si>
  <si>
    <t>Daftar Sumber</t>
  </si>
  <si>
    <t>Sumber</t>
  </si>
  <si>
    <t>Dipakai untuk</t>
  </si>
  <si>
    <t>Link</t>
  </si>
  <si>
    <t>PTK-005/SKKMA0000/2018/S0 Pengelolaan K3LL (SKK Migas)</t>
  </si>
  <si>
    <t>Audit K3 PTK-005, CSMS, ISO 50001</t>
  </si>
  <si>
    <t>https://literasihukum.com/public/index.php/en/regulations/329642/pedoman-tata-kerja-pengelolaan-kesehatan-keselamatan-kerja-dan-lindungan-lingkungan-di-kegiatan-usaha-hulu-minyak-dan-gas-bumi?download=1</t>
  </si>
  <si>
    <t>SKK Migas Selenggarakan HSE CEO Summit (Listrik Indonesia)</t>
  </si>
  <si>
    <t>Arti SIAP SELAMAT &amp; Safety Integrity Audit Program</t>
  </si>
  <si>
    <t>https://listrikindonesia.com/detail/10985/skk-migas-selenggarakan-hse-ceo-summit-bahas-keselamatan-kerja</t>
  </si>
  <si>
    <t>Sustainability Insight Mei 2024 (Pertamina)</t>
  </si>
  <si>
    <t>PSAIMS dalam SUPREME</t>
  </si>
  <si>
    <t>https://pertamina.com///Media/File/Sustainability-Insight-May-2024.pdf</t>
  </si>
  <si>
    <t>Ditjen Migas – Bimtek Auditor SMK3 Migas</t>
  </si>
  <si>
    <t>Survei budaya keselamatan</t>
  </si>
  <si>
    <t>https://www.migas.esdm.go.id/post/Tingkatkan-Pengawasan-Budaya-Keselamatan-Migas-Ditjen-Migas-Gelar-Bimtek-Auditor-SMK3-Migas</t>
  </si>
  <si>
    <t>SKK Migas ingatkan kontraktor KKS tingkatkan SDM (Kontan)</t>
  </si>
  <si>
    <t>CDM – biaya pengembangan SDM</t>
  </si>
  <si>
    <t>https://industri.kontan.co.id/news/skk-migas-ingatkan-kontraktor-kks-tingkatkan-sdm</t>
  </si>
  <si>
    <t>SKK Migas Janji Optimalkan Tenaga Lokal (Bisnis.com)</t>
  </si>
  <si>
    <t>LSP Hulu Migas</t>
  </si>
  <si>
    <t>https://ekonomi.bisnis.com/read/20161005/44/589793/skk-migas-janji-optimalkan-tenaga-lokal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</si>
</sst>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7" x14ac:knownFonts="1">
    <font>
      <sz val="11"/>
      <color theme="1"/>
      <name val="Calibri"/>
      <family val="2"/>
      <charset val="1"/>
    </font>
    <font>
      <b/>
      <sz val="14"/>
      <color rgb="FF1F4E78"/>
      <name val="Arial"/>
      <charset val="1"/>
    </font>
    <font>
      <i/>
      <sz val="9"/>
      <color rgb="FF595959"/>
      <name val="Arial"/>
      <charset val="1"/>
    </font>
    <font>
      <b/>
      <sz val="10"/>
      <color rgb="FFFFFFFF"/>
      <name val="Arial"/>
      <charset val="1"/>
    </font>
    <font>
      <sz val="10"/>
      <name val="Arial"/>
      <charset val="1"/>
    </font>
    <font>
      <b/>
      <sz val="10"/>
      <name val="Arial"/>
      <charset val="1"/>
    </font>
    <font>
      <u/>
      <sz val="10"/>
      <color rgb="FF0563C1"/>
      <name val="Arial"/>
      <charset val="1"/>
    </font>
  </fonts>
  <fills count="9">
    <fill>
      <patternFill patternType="none"/>
    </fill>
    <fill>
      <patternFill patternType="gray125"/>
    </fill>
    <fill>
      <patternFill patternType="solid">
        <fgColor rgb="FF1F4E78"/>
        <bgColor rgb="FF003366"/>
      </patternFill>
    </fill>
    <fill>
      <patternFill patternType="solid">
        <fgColor rgb="FFFFC7CE"/>
        <bgColor rgb="FFFFEB9C"/>
      </patternFill>
    </fill>
    <fill>
      <patternFill patternType="solid">
        <fgColor rgb="FFC6EFCE"/>
        <bgColor rgb="FFE2EFDA"/>
      </patternFill>
    </fill>
    <fill>
      <patternFill patternType="solid">
        <fgColor rgb="FFFFEB9C"/>
        <bgColor rgb="FFFFF2CC"/>
      </patternFill>
    </fill>
    <fill>
      <patternFill patternType="solid">
        <fgColor rgb="FFEDEDED"/>
        <bgColor rgb="FFE2EFDA"/>
      </patternFill>
    </fill>
    <fill>
      <patternFill patternType="solid">
        <fgColor rgb="FFE2EFDA"/>
        <bgColor rgb="FFEDEDED"/>
      </patternFill>
    </fill>
    <fill>
      <patternFill patternType="solid">
        <fgColor rgb="FFFFF2CC"/>
        <bgColor rgb="FFEDEDE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4E78"/>
      </top>
      <bottom style="thin">
        <color rgb="FFBFBFBF"/>
      </bottom>
      <diagonal/>
    </border>
  </borders>
  <cellStyleXfs count="1">
    <xf numFmtId="0" fontId="0" fillId="0" borderId="0"/>
  </cellStyleXfs>
  <cellXfs count="35">
    <xf numFmtId="0" fontId="0" fillId="0" borderId="0" xfId="0"/>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0" borderId="2" xfId="0" applyFont="1" applyBorder="1" applyAlignment="1">
      <alignment horizontal="center"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4" fillId="4" borderId="2" xfId="0" applyFont="1" applyFill="1" applyBorder="1" applyAlignment="1">
      <alignment horizontal="center" vertical="top" wrapText="1"/>
    </xf>
    <xf numFmtId="0" fontId="4" fillId="0" borderId="1" xfId="0" applyFont="1" applyBorder="1" applyAlignment="1">
      <alignment horizontal="left"/>
    </xf>
    <xf numFmtId="0" fontId="4" fillId="0" borderId="1" xfId="0" applyFont="1" applyBorder="1" applyAlignment="1">
      <alignment horizontal="center"/>
    </xf>
    <xf numFmtId="0" fontId="4" fillId="6" borderId="2" xfId="0" applyFont="1" applyFill="1" applyBorder="1" applyAlignment="1">
      <alignment horizontal="center" vertical="top" wrapText="1"/>
    </xf>
    <xf numFmtId="0" fontId="5" fillId="0" borderId="1" xfId="0" applyFont="1" applyBorder="1" applyAlignment="1">
      <alignment horizontal="left"/>
    </xf>
    <xf numFmtId="0" fontId="5" fillId="0" borderId="1" xfId="0" applyFont="1" applyBorder="1" applyAlignment="1">
      <alignment horizontal="center"/>
    </xf>
    <xf numFmtId="0" fontId="4" fillId="6" borderId="1" xfId="0" applyFont="1" applyFill="1" applyBorder="1" applyAlignment="1">
      <alignment horizontal="center" vertical="top" wrapText="1"/>
    </xf>
    <xf numFmtId="0" fontId="4" fillId="5" borderId="2" xfId="0" applyFont="1" applyFill="1" applyBorder="1" applyAlignment="1">
      <alignment horizontal="center" vertical="top" wrapText="1"/>
    </xf>
    <xf numFmtId="0" fontId="3" fillId="2" borderId="1" xfId="0" applyFont="1" applyFill="1" applyBorder="1" applyAlignment="1">
      <alignment horizontal="center" vertical="center"/>
    </xf>
    <xf numFmtId="0" fontId="4" fillId="7" borderId="1" xfId="0" applyFont="1" applyFill="1" applyBorder="1" applyAlignment="1">
      <alignment horizontal="center" vertical="top" wrapText="1"/>
    </xf>
    <xf numFmtId="0" fontId="4" fillId="7" borderId="1" xfId="0" applyFont="1" applyFill="1" applyBorder="1" applyAlignment="1">
      <alignment vertical="top" wrapText="1"/>
    </xf>
    <xf numFmtId="164" fontId="4" fillId="7" borderId="1" xfId="0" applyNumberFormat="1" applyFont="1" applyFill="1" applyBorder="1" applyAlignment="1">
      <alignment horizontal="center" vertical="top" wrapText="1"/>
    </xf>
    <xf numFmtId="1" fontId="4" fillId="7" borderId="1" xfId="0" applyNumberFormat="1" applyFont="1" applyFill="1" applyBorder="1" applyAlignment="1">
      <alignment horizontal="center" vertical="top" wrapText="1"/>
    </xf>
    <xf numFmtId="0" fontId="4" fillId="0" borderId="1" xfId="0" applyFont="1" applyBorder="1"/>
    <xf numFmtId="0" fontId="4" fillId="8" borderId="1" xfId="0" applyFont="1" applyFill="1" applyBorder="1" applyAlignment="1">
      <alignment vertical="top" wrapText="1"/>
    </xf>
    <xf numFmtId="0" fontId="4" fillId="8" borderId="1" xfId="0" applyFont="1" applyFill="1" applyBorder="1" applyAlignment="1">
      <alignment horizontal="center" vertical="top" wrapText="1"/>
    </xf>
    <xf numFmtId="164" fontId="4" fillId="8" borderId="1" xfId="0" applyNumberFormat="1" applyFont="1" applyFill="1" applyBorder="1" applyAlignment="1">
      <alignment horizontal="center" vertical="top" wrapText="1"/>
    </xf>
    <xf numFmtId="1" fontId="4" fillId="0" borderId="1" xfId="0" applyNumberFormat="1" applyFont="1" applyBorder="1" applyAlignment="1">
      <alignment horizontal="center" vertical="top" wrapText="1"/>
    </xf>
    <xf numFmtId="0" fontId="5" fillId="0" borderId="1" xfId="0" applyFont="1" applyBorder="1"/>
    <xf numFmtId="165" fontId="5" fillId="0" borderId="1" xfId="0" applyNumberFormat="1" applyFont="1" applyBorder="1" applyAlignment="1">
      <alignment horizontal="center"/>
    </xf>
    <xf numFmtId="0" fontId="6" fillId="0" borderId="1" xfId="0" applyFont="1" applyBorder="1" applyAlignment="1">
      <alignment vertical="top" wrapText="1"/>
    </xf>
    <xf numFmtId="0" fontId="2" fillId="0" borderId="0" xfId="0" applyFont="1" applyAlignment="1">
      <alignment vertical="top" wrapText="1"/>
    </xf>
    <xf numFmtId="0" fontId="2" fillId="0" borderId="0" xfId="0" applyFont="1"/>
  </cellXfs>
  <cellStyles count="1">
    <cellStyle name="Normal" xfId="0" builtinId="0"/>
  </cellStyles>
  <dxfs count="4">
    <dxf>
      <font>
        <b/>
        <color rgb="FF9C0006"/>
        <name val="Arial"/>
        <charset val="1"/>
      </font>
      <fill>
        <patternFill>
          <bgColor rgb="FFFFC7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pertamina.com/Media/File/Sustainability-Insight-May-2024.pdf" TargetMode="External"/><Relationship Id="rId2" Type="http://schemas.openxmlformats.org/officeDocument/2006/relationships/hyperlink" Target="https://listrikindonesia.com/detail/10985/skk-migas-selenggarakan-hse-ceo-summit-bahas-keselamatan-kerja" TargetMode="External"/><Relationship Id="rId1" Type="http://schemas.openxmlformats.org/officeDocument/2006/relationships/hyperlink" Target="https://literasihukum.com/public/index.php/en/regulations/329642/pedoman-tata-kerja-pengelolaan-kesehatan-keselamatan-kerja-dan-lindungan-lingkungan-di-kegiatan-usaha-hulu-minyak-dan-gas-bumi?download=1" TargetMode="External"/><Relationship Id="rId6" Type="http://schemas.openxmlformats.org/officeDocument/2006/relationships/hyperlink" Target="https://ekonomi.bisnis.com/read/20161005/44/589793/skk-migas-janji-optimalkan-tenaga-lokal" TargetMode="External"/><Relationship Id="rId5" Type="http://schemas.openxmlformats.org/officeDocument/2006/relationships/hyperlink" Target="https://industri.kontan.co.id/news/skk-migas-ingatkan-kontraktor-kks-tingkatkan-sdm" TargetMode="External"/><Relationship Id="rId4" Type="http://schemas.openxmlformats.org/officeDocument/2006/relationships/hyperlink" Target="https://www.migas.esdm.go.id/post/Tingkatkan-Pengawasan-Budaya-Keselamatan-Migas-Ditjen-Migas-Gelar-Bimtek-Auditor-SMK3-Mig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1"/>
  <sheetViews>
    <sheetView showGridLines="0" tabSelected="1" zoomScale="85" zoomScaleNormal="100" workbookViewId="0">
      <pane xSplit="2" ySplit="4" topLeftCell="C10" activePane="bottomRight" state="frozen"/>
      <selection pane="topRight" activeCell="C1" sqref="C1"/>
      <selection pane="bottomLeft" activeCell="A5" sqref="A5"/>
      <selection pane="bottomRight" activeCell="B10" sqref="B10"/>
    </sheetView>
  </sheetViews>
  <sheetFormatPr defaultColWidth="8.6328125" defaultRowHeight="14.5" x14ac:dyDescent="0.35"/>
  <cols>
    <col min="1" max="1" width="5" customWidth="1"/>
    <col min="2" max="2" width="22" customWidth="1"/>
    <col min="3" max="3" width="32" customWidth="1"/>
    <col min="4" max="4" width="50" customWidth="1"/>
    <col min="5" max="5" width="48" customWidth="1"/>
    <col min="6" max="6" width="40" customWidth="1"/>
    <col min="7" max="7" width="34" customWidth="1"/>
    <col min="8" max="8" width="18" customWidth="1"/>
    <col min="9" max="9" width="42" customWidth="1"/>
  </cols>
  <sheetData>
    <row r="1" spans="1:9" ht="18" x14ac:dyDescent="0.4">
      <c r="A1" s="1" t="s">
        <v>0</v>
      </c>
    </row>
    <row r="2" spans="1:9" ht="27.75" customHeight="1" x14ac:dyDescent="0.35">
      <c r="A2" s="33" t="s">
        <v>1</v>
      </c>
      <c r="B2" s="33"/>
      <c r="C2" s="33"/>
      <c r="D2" s="33"/>
      <c r="E2" s="33"/>
      <c r="F2" s="33"/>
      <c r="G2" s="33"/>
      <c r="H2" s="33"/>
      <c r="I2" s="33"/>
    </row>
    <row r="4" spans="1:9" ht="31.5" customHeight="1" x14ac:dyDescent="0.35">
      <c r="A4" s="2" t="s">
        <v>2</v>
      </c>
      <c r="B4" s="2" t="s">
        <v>3</v>
      </c>
      <c r="C4" s="2" t="s">
        <v>4</v>
      </c>
      <c r="D4" s="2" t="s">
        <v>5</v>
      </c>
      <c r="E4" s="2" t="s">
        <v>6</v>
      </c>
      <c r="F4" s="2" t="s">
        <v>7</v>
      </c>
      <c r="G4" s="2" t="s">
        <v>8</v>
      </c>
      <c r="H4" s="2" t="s">
        <v>9</v>
      </c>
      <c r="I4" s="2" t="s">
        <v>10</v>
      </c>
    </row>
    <row r="5" spans="1:9" ht="252" customHeight="1" x14ac:dyDescent="0.35">
      <c r="A5" s="3">
        <v>1</v>
      </c>
      <c r="B5" s="4" t="s">
        <v>11</v>
      </c>
      <c r="C5" s="5" t="s">
        <v>12</v>
      </c>
      <c r="D5" s="5" t="s">
        <v>13</v>
      </c>
      <c r="E5" s="5" t="s">
        <v>14</v>
      </c>
      <c r="F5" s="5" t="s">
        <v>15</v>
      </c>
      <c r="G5" s="5" t="s">
        <v>16</v>
      </c>
      <c r="H5" s="6" t="s">
        <v>17</v>
      </c>
      <c r="I5" s="5" t="s">
        <v>18</v>
      </c>
    </row>
    <row r="6" spans="1:9" ht="330" customHeight="1" x14ac:dyDescent="0.35">
      <c r="A6" s="3">
        <v>2</v>
      </c>
      <c r="B6" s="4" t="s">
        <v>19</v>
      </c>
      <c r="C6" s="5" t="s">
        <v>20</v>
      </c>
      <c r="D6" s="5" t="s">
        <v>21</v>
      </c>
      <c r="E6" s="5" t="s">
        <v>22</v>
      </c>
      <c r="F6" s="5" t="s">
        <v>23</v>
      </c>
      <c r="G6" s="5" t="s">
        <v>24</v>
      </c>
      <c r="H6" s="7" t="s">
        <v>25</v>
      </c>
      <c r="I6" s="5" t="s">
        <v>26</v>
      </c>
    </row>
    <row r="7" spans="1:9" ht="237.75" customHeight="1" x14ac:dyDescent="0.35">
      <c r="A7" s="3">
        <v>3</v>
      </c>
      <c r="B7" s="4" t="s">
        <v>27</v>
      </c>
      <c r="C7" s="5" t="s">
        <v>28</v>
      </c>
      <c r="D7" s="5" t="s">
        <v>29</v>
      </c>
      <c r="E7" s="5" t="s">
        <v>30</v>
      </c>
      <c r="F7" s="5" t="s">
        <v>31</v>
      </c>
      <c r="G7" s="5" t="s">
        <v>32</v>
      </c>
      <c r="H7" s="8" t="s">
        <v>33</v>
      </c>
      <c r="I7" s="5" t="s">
        <v>34</v>
      </c>
    </row>
    <row r="8" spans="1:9" ht="330" customHeight="1" x14ac:dyDescent="0.35">
      <c r="A8" s="3">
        <v>4</v>
      </c>
      <c r="B8" s="4" t="s">
        <v>35</v>
      </c>
      <c r="C8" s="5" t="s">
        <v>36</v>
      </c>
      <c r="D8" s="5" t="s">
        <v>37</v>
      </c>
      <c r="E8" s="5" t="s">
        <v>38</v>
      </c>
      <c r="F8" s="5" t="s">
        <v>39</v>
      </c>
      <c r="G8" s="5" t="s">
        <v>40</v>
      </c>
      <c r="H8" s="7" t="s">
        <v>25</v>
      </c>
      <c r="I8" s="5" t="s">
        <v>41</v>
      </c>
    </row>
    <row r="9" spans="1:9" ht="330" customHeight="1" x14ac:dyDescent="0.35">
      <c r="A9" s="3">
        <v>5</v>
      </c>
      <c r="B9" s="4" t="s">
        <v>42</v>
      </c>
      <c r="C9" s="5" t="s">
        <v>43</v>
      </c>
      <c r="D9" s="5" t="s">
        <v>44</v>
      </c>
      <c r="E9" s="5" t="s">
        <v>45</v>
      </c>
      <c r="F9" s="5" t="s">
        <v>46</v>
      </c>
      <c r="G9" s="5" t="s">
        <v>47</v>
      </c>
      <c r="H9" s="8" t="s">
        <v>33</v>
      </c>
      <c r="I9" s="5" t="s">
        <v>48</v>
      </c>
    </row>
    <row r="10" spans="1:9" ht="294" customHeight="1" x14ac:dyDescent="0.35">
      <c r="A10" s="3">
        <v>6</v>
      </c>
      <c r="B10" s="4" t="s">
        <v>49</v>
      </c>
      <c r="C10" s="5" t="s">
        <v>50</v>
      </c>
      <c r="D10" s="5" t="s">
        <v>51</v>
      </c>
      <c r="E10" s="5" t="s">
        <v>52</v>
      </c>
      <c r="F10" s="5" t="s">
        <v>53</v>
      </c>
      <c r="G10" s="5" t="s">
        <v>54</v>
      </c>
      <c r="H10" s="7" t="s">
        <v>25</v>
      </c>
      <c r="I10" s="5" t="s">
        <v>55</v>
      </c>
    </row>
    <row r="11" spans="1:9" ht="210" customHeight="1" x14ac:dyDescent="0.35">
      <c r="A11" s="3">
        <v>7</v>
      </c>
      <c r="B11" s="4" t="s">
        <v>56</v>
      </c>
      <c r="C11" s="5" t="s">
        <v>57</v>
      </c>
      <c r="D11" s="5" t="s">
        <v>58</v>
      </c>
      <c r="E11" s="5" t="s">
        <v>59</v>
      </c>
      <c r="F11" s="5" t="s">
        <v>60</v>
      </c>
      <c r="G11" s="5" t="s">
        <v>61</v>
      </c>
      <c r="H11" s="7" t="s">
        <v>25</v>
      </c>
      <c r="I11" s="5" t="s">
        <v>62</v>
      </c>
    </row>
  </sheetData>
  <autoFilter ref="A4:I11" xr:uid="{00000000-0009-0000-0000-000000000000}"/>
  <mergeCells count="1">
    <mergeCell ref="A2:I2"/>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2"/>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6328125" defaultRowHeight="14.5" x14ac:dyDescent="0.35"/>
  <cols>
    <col min="1" max="1" width="5" customWidth="1"/>
    <col min="2" max="2" width="20" customWidth="1"/>
    <col min="3" max="3" width="12" customWidth="1"/>
    <col min="4" max="4" width="36" customWidth="1"/>
    <col min="5" max="5" width="52" customWidth="1"/>
    <col min="6" max="6" width="28" customWidth="1"/>
    <col min="7" max="7" width="14" customWidth="1"/>
    <col min="8" max="8" width="42" customWidth="1"/>
    <col min="9" max="9" width="3" customWidth="1"/>
    <col min="10" max="10" width="22" customWidth="1"/>
    <col min="11" max="14" width="12" customWidth="1"/>
  </cols>
  <sheetData>
    <row r="1" spans="1:14" ht="18" x14ac:dyDescent="0.4">
      <c r="A1" s="1" t="s">
        <v>63</v>
      </c>
    </row>
    <row r="2" spans="1:14" ht="42" customHeight="1" x14ac:dyDescent="0.35">
      <c r="A2" s="33" t="s">
        <v>64</v>
      </c>
      <c r="B2" s="33"/>
      <c r="C2" s="33"/>
      <c r="D2" s="33"/>
      <c r="E2" s="33"/>
      <c r="F2" s="33"/>
      <c r="G2" s="33"/>
      <c r="H2" s="33"/>
    </row>
    <row r="4" spans="1:14" ht="31.5" customHeight="1" x14ac:dyDescent="0.35">
      <c r="A4" s="2" t="s">
        <v>2</v>
      </c>
      <c r="B4" s="2" t="s">
        <v>3</v>
      </c>
      <c r="C4" s="2" t="s">
        <v>65</v>
      </c>
      <c r="D4" s="2" t="s">
        <v>66</v>
      </c>
      <c r="E4" s="2" t="s">
        <v>67</v>
      </c>
      <c r="F4" s="2" t="s">
        <v>68</v>
      </c>
      <c r="G4" s="2" t="s">
        <v>69</v>
      </c>
      <c r="H4" s="2" t="s">
        <v>70</v>
      </c>
      <c r="J4" s="2" t="s">
        <v>3</v>
      </c>
      <c r="K4" s="2" t="s">
        <v>71</v>
      </c>
      <c r="L4" s="2" t="s">
        <v>72</v>
      </c>
      <c r="M4" s="2" t="s">
        <v>73</v>
      </c>
      <c r="N4" s="2" t="s">
        <v>74</v>
      </c>
    </row>
    <row r="5" spans="1:14" ht="27.75" customHeight="1" x14ac:dyDescent="0.35">
      <c r="A5" s="9">
        <v>1</v>
      </c>
      <c r="B5" s="10" t="s">
        <v>11</v>
      </c>
      <c r="C5" s="9" t="s">
        <v>75</v>
      </c>
      <c r="D5" s="10" t="s">
        <v>76</v>
      </c>
      <c r="E5" s="11" t="s">
        <v>77</v>
      </c>
      <c r="F5" s="11" t="s">
        <v>78</v>
      </c>
      <c r="G5" s="12" t="s">
        <v>79</v>
      </c>
      <c r="H5" s="11" t="s">
        <v>80</v>
      </c>
      <c r="J5" s="13" t="s">
        <v>11</v>
      </c>
      <c r="K5" s="14">
        <f t="shared" ref="K5:K11" si="0">COUNTIF($B$5:$B$102,J5)</f>
        <v>6</v>
      </c>
      <c r="L5" s="14">
        <f t="shared" ref="L5:L11" si="1">COUNTIFS($B$5:$B$102,J5,$G$5:$G$102,"Utama")</f>
        <v>6</v>
      </c>
      <c r="M5" s="14">
        <f t="shared" ref="M5:M11" si="2">COUNTIFS($B$5:$B$102,J5,$G$5:$G$102,"Pendukung")</f>
        <v>0</v>
      </c>
      <c r="N5" s="14">
        <f t="shared" ref="N5:N11" si="3">COUNTIFS($B$5:$B$102,J5,$G$5:$G$102,"Tidak langsung")</f>
        <v>0</v>
      </c>
    </row>
    <row r="6" spans="1:14" ht="27.75" customHeight="1" x14ac:dyDescent="0.35">
      <c r="A6" s="3">
        <v>2</v>
      </c>
      <c r="B6" s="4" t="s">
        <v>11</v>
      </c>
      <c r="C6" s="3" t="s">
        <v>81</v>
      </c>
      <c r="D6" s="4" t="s">
        <v>82</v>
      </c>
      <c r="E6" s="5" t="s">
        <v>83</v>
      </c>
      <c r="F6" s="5" t="s">
        <v>78</v>
      </c>
      <c r="G6" s="7" t="s">
        <v>79</v>
      </c>
      <c r="H6" s="5" t="s">
        <v>84</v>
      </c>
      <c r="J6" s="13" t="s">
        <v>85</v>
      </c>
      <c r="K6" s="14">
        <f t="shared" si="0"/>
        <v>34</v>
      </c>
      <c r="L6" s="14">
        <f t="shared" si="1"/>
        <v>5</v>
      </c>
      <c r="M6" s="14">
        <f t="shared" si="2"/>
        <v>17</v>
      </c>
      <c r="N6" s="14">
        <f t="shared" si="3"/>
        <v>12</v>
      </c>
    </row>
    <row r="7" spans="1:14" ht="27.75" customHeight="1" x14ac:dyDescent="0.35">
      <c r="A7" s="3">
        <v>3</v>
      </c>
      <c r="B7" s="4" t="s">
        <v>11</v>
      </c>
      <c r="C7" s="3" t="s">
        <v>86</v>
      </c>
      <c r="D7" s="4" t="s">
        <v>87</v>
      </c>
      <c r="E7" s="5" t="s">
        <v>88</v>
      </c>
      <c r="F7" s="5" t="s">
        <v>78</v>
      </c>
      <c r="G7" s="7" t="s">
        <v>79</v>
      </c>
      <c r="H7" s="5" t="s">
        <v>89</v>
      </c>
      <c r="J7" s="13" t="s">
        <v>27</v>
      </c>
      <c r="K7" s="14">
        <f t="shared" si="0"/>
        <v>4</v>
      </c>
      <c r="L7" s="14">
        <f t="shared" si="1"/>
        <v>1</v>
      </c>
      <c r="M7" s="14">
        <f t="shared" si="2"/>
        <v>3</v>
      </c>
      <c r="N7" s="14">
        <f t="shared" si="3"/>
        <v>0</v>
      </c>
    </row>
    <row r="8" spans="1:14" ht="27.75" customHeight="1" x14ac:dyDescent="0.35">
      <c r="A8" s="3">
        <v>4</v>
      </c>
      <c r="B8" s="4" t="s">
        <v>11</v>
      </c>
      <c r="C8" s="3" t="s">
        <v>90</v>
      </c>
      <c r="D8" s="4" t="s">
        <v>91</v>
      </c>
      <c r="E8" s="5" t="s">
        <v>92</v>
      </c>
      <c r="F8" s="5" t="s">
        <v>78</v>
      </c>
      <c r="G8" s="7" t="s">
        <v>79</v>
      </c>
      <c r="H8" s="5" t="s">
        <v>93</v>
      </c>
      <c r="J8" s="13" t="s">
        <v>94</v>
      </c>
      <c r="K8" s="14">
        <f t="shared" si="0"/>
        <v>11</v>
      </c>
      <c r="L8" s="14">
        <f t="shared" si="1"/>
        <v>1</v>
      </c>
      <c r="M8" s="14">
        <f t="shared" si="2"/>
        <v>8</v>
      </c>
      <c r="N8" s="14">
        <f t="shared" si="3"/>
        <v>2</v>
      </c>
    </row>
    <row r="9" spans="1:14" ht="27.75" customHeight="1" x14ac:dyDescent="0.35">
      <c r="A9" s="3">
        <v>5</v>
      </c>
      <c r="B9" s="4" t="s">
        <v>11</v>
      </c>
      <c r="C9" s="3" t="s">
        <v>95</v>
      </c>
      <c r="D9" s="4" t="s">
        <v>96</v>
      </c>
      <c r="E9" s="5" t="s">
        <v>97</v>
      </c>
      <c r="F9" s="5" t="s">
        <v>98</v>
      </c>
      <c r="G9" s="7" t="s">
        <v>79</v>
      </c>
      <c r="H9" s="5" t="s">
        <v>99</v>
      </c>
      <c r="J9" s="13" t="s">
        <v>100</v>
      </c>
      <c r="K9" s="14">
        <f t="shared" si="0"/>
        <v>13</v>
      </c>
      <c r="L9" s="14">
        <f t="shared" si="1"/>
        <v>1</v>
      </c>
      <c r="M9" s="14">
        <f t="shared" si="2"/>
        <v>5</v>
      </c>
      <c r="N9" s="14">
        <f t="shared" si="3"/>
        <v>7</v>
      </c>
    </row>
    <row r="10" spans="1:14" ht="27.75" customHeight="1" x14ac:dyDescent="0.35">
      <c r="A10" s="3">
        <v>6</v>
      </c>
      <c r="B10" s="4" t="s">
        <v>11</v>
      </c>
      <c r="C10" s="3" t="s">
        <v>101</v>
      </c>
      <c r="D10" s="4" t="s">
        <v>102</v>
      </c>
      <c r="E10" s="5" t="s">
        <v>103</v>
      </c>
      <c r="F10" s="5" t="s">
        <v>104</v>
      </c>
      <c r="G10" s="7" t="s">
        <v>79</v>
      </c>
      <c r="H10" s="5" t="s">
        <v>105</v>
      </c>
      <c r="J10" s="13" t="s">
        <v>106</v>
      </c>
      <c r="K10" s="14">
        <f t="shared" si="0"/>
        <v>23</v>
      </c>
      <c r="L10" s="14">
        <f t="shared" si="1"/>
        <v>3</v>
      </c>
      <c r="M10" s="14">
        <f t="shared" si="2"/>
        <v>5</v>
      </c>
      <c r="N10" s="14">
        <f t="shared" si="3"/>
        <v>15</v>
      </c>
    </row>
    <row r="11" spans="1:14" ht="27.75" customHeight="1" x14ac:dyDescent="0.35">
      <c r="A11" s="9">
        <v>7</v>
      </c>
      <c r="B11" s="10" t="s">
        <v>85</v>
      </c>
      <c r="C11" s="9" t="s">
        <v>107</v>
      </c>
      <c r="D11" s="10" t="s">
        <v>108</v>
      </c>
      <c r="E11" s="11" t="s">
        <v>109</v>
      </c>
      <c r="F11" s="11" t="s">
        <v>110</v>
      </c>
      <c r="G11" s="15" t="s">
        <v>74</v>
      </c>
      <c r="H11" s="11" t="s">
        <v>111</v>
      </c>
      <c r="J11" s="13" t="s">
        <v>56</v>
      </c>
      <c r="K11" s="14">
        <f t="shared" si="0"/>
        <v>7</v>
      </c>
      <c r="L11" s="14">
        <f t="shared" si="1"/>
        <v>0</v>
      </c>
      <c r="M11" s="14">
        <f t="shared" si="2"/>
        <v>2</v>
      </c>
      <c r="N11" s="14">
        <f t="shared" si="3"/>
        <v>5</v>
      </c>
    </row>
    <row r="12" spans="1:14" ht="27.75" customHeight="1" x14ac:dyDescent="0.35">
      <c r="A12" s="3">
        <v>8</v>
      </c>
      <c r="B12" s="4" t="s">
        <v>85</v>
      </c>
      <c r="C12" s="3" t="s">
        <v>112</v>
      </c>
      <c r="D12" s="4" t="s">
        <v>113</v>
      </c>
      <c r="E12" s="5" t="s">
        <v>114</v>
      </c>
      <c r="F12" s="5" t="s">
        <v>110</v>
      </c>
      <c r="G12" s="8" t="s">
        <v>115</v>
      </c>
      <c r="H12" s="5" t="s">
        <v>116</v>
      </c>
      <c r="J12" s="16" t="s">
        <v>117</v>
      </c>
      <c r="K12" s="17">
        <f>SUM(K5:K11)</f>
        <v>98</v>
      </c>
      <c r="L12" s="17">
        <f>SUM(L5:L11)</f>
        <v>17</v>
      </c>
      <c r="M12" s="17">
        <f>SUM(M5:M11)</f>
        <v>40</v>
      </c>
      <c r="N12" s="17">
        <f>SUM(N5:N11)</f>
        <v>41</v>
      </c>
    </row>
    <row r="13" spans="1:14" ht="27.75" customHeight="1" x14ac:dyDescent="0.35">
      <c r="A13" s="3">
        <v>9</v>
      </c>
      <c r="B13" s="4" t="s">
        <v>85</v>
      </c>
      <c r="C13" s="3" t="s">
        <v>118</v>
      </c>
      <c r="D13" s="4" t="s">
        <v>119</v>
      </c>
      <c r="E13" s="5" t="s">
        <v>120</v>
      </c>
      <c r="F13" s="5" t="s">
        <v>110</v>
      </c>
      <c r="G13" s="18" t="s">
        <v>74</v>
      </c>
      <c r="H13" s="5" t="s">
        <v>111</v>
      </c>
    </row>
    <row r="14" spans="1:14" ht="27.75" customHeight="1" x14ac:dyDescent="0.35">
      <c r="A14" s="3">
        <v>10</v>
      </c>
      <c r="B14" s="4" t="s">
        <v>85</v>
      </c>
      <c r="C14" s="3" t="s">
        <v>121</v>
      </c>
      <c r="D14" s="4" t="s">
        <v>122</v>
      </c>
      <c r="E14" s="5" t="s">
        <v>123</v>
      </c>
      <c r="F14" s="5" t="s">
        <v>110</v>
      </c>
      <c r="G14" s="8" t="s">
        <v>115</v>
      </c>
      <c r="H14" s="5" t="s">
        <v>124</v>
      </c>
    </row>
    <row r="15" spans="1:14" ht="27.75" customHeight="1" x14ac:dyDescent="0.35">
      <c r="A15" s="3">
        <v>11</v>
      </c>
      <c r="B15" s="4" t="s">
        <v>85</v>
      </c>
      <c r="C15" s="3" t="s">
        <v>125</v>
      </c>
      <c r="D15" s="4" t="s">
        <v>126</v>
      </c>
      <c r="E15" s="5" t="s">
        <v>127</v>
      </c>
      <c r="F15" s="5" t="s">
        <v>128</v>
      </c>
      <c r="G15" s="18" t="s">
        <v>74</v>
      </c>
      <c r="H15" s="5" t="s">
        <v>111</v>
      </c>
    </row>
    <row r="16" spans="1:14" ht="27.75" customHeight="1" x14ac:dyDescent="0.35">
      <c r="A16" s="3">
        <v>12</v>
      </c>
      <c r="B16" s="4" t="s">
        <v>85</v>
      </c>
      <c r="C16" s="3" t="s">
        <v>129</v>
      </c>
      <c r="D16" s="4" t="s">
        <v>130</v>
      </c>
      <c r="E16" s="5" t="s">
        <v>131</v>
      </c>
      <c r="F16" s="5" t="s">
        <v>132</v>
      </c>
      <c r="G16" s="8" t="s">
        <v>115</v>
      </c>
      <c r="H16" s="5" t="s">
        <v>133</v>
      </c>
    </row>
    <row r="17" spans="1:8" ht="27.75" customHeight="1" x14ac:dyDescent="0.35">
      <c r="A17" s="3">
        <v>13</v>
      </c>
      <c r="B17" s="4" t="s">
        <v>85</v>
      </c>
      <c r="C17" s="3" t="s">
        <v>134</v>
      </c>
      <c r="D17" s="4" t="s">
        <v>135</v>
      </c>
      <c r="E17" s="5" t="s">
        <v>136</v>
      </c>
      <c r="F17" s="5" t="s">
        <v>137</v>
      </c>
      <c r="G17" s="7" t="s">
        <v>79</v>
      </c>
      <c r="H17" s="5" t="s">
        <v>138</v>
      </c>
    </row>
    <row r="18" spans="1:8" ht="27.75" customHeight="1" x14ac:dyDescent="0.35">
      <c r="A18" s="3">
        <v>14</v>
      </c>
      <c r="B18" s="4" t="s">
        <v>85</v>
      </c>
      <c r="C18" s="3" t="s">
        <v>139</v>
      </c>
      <c r="D18" s="4" t="s">
        <v>140</v>
      </c>
      <c r="E18" s="5" t="s">
        <v>141</v>
      </c>
      <c r="F18" s="5" t="s">
        <v>142</v>
      </c>
      <c r="G18" s="8" t="s">
        <v>115</v>
      </c>
      <c r="H18" s="5" t="s">
        <v>143</v>
      </c>
    </row>
    <row r="19" spans="1:8" ht="27.75" customHeight="1" x14ac:dyDescent="0.35">
      <c r="A19" s="3">
        <v>15</v>
      </c>
      <c r="B19" s="4" t="s">
        <v>85</v>
      </c>
      <c r="C19" s="3" t="s">
        <v>144</v>
      </c>
      <c r="D19" s="4" t="s">
        <v>145</v>
      </c>
      <c r="E19" s="5" t="s">
        <v>146</v>
      </c>
      <c r="F19" s="5" t="s">
        <v>147</v>
      </c>
      <c r="G19" s="8" t="s">
        <v>115</v>
      </c>
      <c r="H19" s="5" t="s">
        <v>148</v>
      </c>
    </row>
    <row r="20" spans="1:8" ht="27.75" customHeight="1" x14ac:dyDescent="0.35">
      <c r="A20" s="3">
        <v>16</v>
      </c>
      <c r="B20" s="4" t="s">
        <v>85</v>
      </c>
      <c r="C20" s="3" t="s">
        <v>149</v>
      </c>
      <c r="D20" s="4" t="s">
        <v>150</v>
      </c>
      <c r="E20" s="5" t="s">
        <v>151</v>
      </c>
      <c r="F20" s="5" t="s">
        <v>152</v>
      </c>
      <c r="G20" s="8" t="s">
        <v>115</v>
      </c>
      <c r="H20" s="5" t="s">
        <v>153</v>
      </c>
    </row>
    <row r="21" spans="1:8" ht="27.75" customHeight="1" x14ac:dyDescent="0.35">
      <c r="A21" s="3">
        <v>17</v>
      </c>
      <c r="B21" s="4" t="s">
        <v>85</v>
      </c>
      <c r="C21" s="3" t="s">
        <v>154</v>
      </c>
      <c r="D21" s="4" t="s">
        <v>155</v>
      </c>
      <c r="E21" s="5" t="s">
        <v>156</v>
      </c>
      <c r="F21" s="5" t="s">
        <v>110</v>
      </c>
      <c r="G21" s="8" t="s">
        <v>115</v>
      </c>
      <c r="H21" s="5" t="s">
        <v>157</v>
      </c>
    </row>
    <row r="22" spans="1:8" ht="27.75" customHeight="1" x14ac:dyDescent="0.35">
      <c r="A22" s="3">
        <v>18</v>
      </c>
      <c r="B22" s="4" t="s">
        <v>85</v>
      </c>
      <c r="C22" s="3" t="s">
        <v>158</v>
      </c>
      <c r="D22" s="4" t="s">
        <v>159</v>
      </c>
      <c r="E22" s="5" t="s">
        <v>160</v>
      </c>
      <c r="F22" s="5" t="s">
        <v>128</v>
      </c>
      <c r="G22" s="18" t="s">
        <v>74</v>
      </c>
      <c r="H22" s="5" t="s">
        <v>111</v>
      </c>
    </row>
    <row r="23" spans="1:8" ht="27.75" customHeight="1" x14ac:dyDescent="0.35">
      <c r="A23" s="3">
        <v>19</v>
      </c>
      <c r="B23" s="4" t="s">
        <v>85</v>
      </c>
      <c r="C23" s="3" t="s">
        <v>161</v>
      </c>
      <c r="D23" s="4" t="s">
        <v>162</v>
      </c>
      <c r="E23" s="5" t="s">
        <v>163</v>
      </c>
      <c r="F23" s="5" t="s">
        <v>78</v>
      </c>
      <c r="G23" s="7" t="s">
        <v>79</v>
      </c>
      <c r="H23" s="5" t="s">
        <v>164</v>
      </c>
    </row>
    <row r="24" spans="1:8" ht="27.75" customHeight="1" x14ac:dyDescent="0.35">
      <c r="A24" s="3">
        <v>20</v>
      </c>
      <c r="B24" s="4" t="s">
        <v>85</v>
      </c>
      <c r="C24" s="3" t="s">
        <v>165</v>
      </c>
      <c r="D24" s="4" t="s">
        <v>166</v>
      </c>
      <c r="E24" s="5" t="s">
        <v>167</v>
      </c>
      <c r="F24" s="5" t="s">
        <v>168</v>
      </c>
      <c r="G24" s="18" t="s">
        <v>74</v>
      </c>
      <c r="H24" s="5" t="s">
        <v>111</v>
      </c>
    </row>
    <row r="25" spans="1:8" ht="27.75" customHeight="1" x14ac:dyDescent="0.35">
      <c r="A25" s="3">
        <v>21</v>
      </c>
      <c r="B25" s="4" t="s">
        <v>85</v>
      </c>
      <c r="C25" s="3" t="s">
        <v>169</v>
      </c>
      <c r="D25" s="4" t="s">
        <v>170</v>
      </c>
      <c r="E25" s="5" t="s">
        <v>171</v>
      </c>
      <c r="F25" s="5" t="s">
        <v>172</v>
      </c>
      <c r="G25" s="8" t="s">
        <v>115</v>
      </c>
      <c r="H25" s="5" t="s">
        <v>173</v>
      </c>
    </row>
    <row r="26" spans="1:8" ht="27.75" customHeight="1" x14ac:dyDescent="0.35">
      <c r="A26" s="3">
        <v>22</v>
      </c>
      <c r="B26" s="4" t="s">
        <v>85</v>
      </c>
      <c r="C26" s="3" t="s">
        <v>174</v>
      </c>
      <c r="D26" s="4" t="s">
        <v>175</v>
      </c>
      <c r="E26" s="5" t="s">
        <v>176</v>
      </c>
      <c r="F26" s="5" t="s">
        <v>177</v>
      </c>
      <c r="G26" s="18" t="s">
        <v>74</v>
      </c>
      <c r="H26" s="5" t="s">
        <v>111</v>
      </c>
    </row>
    <row r="27" spans="1:8" ht="27.75" customHeight="1" x14ac:dyDescent="0.35">
      <c r="A27" s="3">
        <v>23</v>
      </c>
      <c r="B27" s="4" t="s">
        <v>85</v>
      </c>
      <c r="C27" s="3" t="s">
        <v>178</v>
      </c>
      <c r="D27" s="4" t="s">
        <v>179</v>
      </c>
      <c r="E27" s="5" t="s">
        <v>180</v>
      </c>
      <c r="F27" s="5" t="s">
        <v>78</v>
      </c>
      <c r="G27" s="7" t="s">
        <v>79</v>
      </c>
      <c r="H27" s="5" t="s">
        <v>181</v>
      </c>
    </row>
    <row r="28" spans="1:8" ht="27.75" customHeight="1" x14ac:dyDescent="0.35">
      <c r="A28" s="3">
        <v>24</v>
      </c>
      <c r="B28" s="4" t="s">
        <v>85</v>
      </c>
      <c r="C28" s="3" t="s">
        <v>182</v>
      </c>
      <c r="D28" s="4" t="s">
        <v>183</v>
      </c>
      <c r="E28" s="5" t="s">
        <v>184</v>
      </c>
      <c r="F28" s="5" t="s">
        <v>78</v>
      </c>
      <c r="G28" s="7" t="s">
        <v>79</v>
      </c>
      <c r="H28" s="5" t="s">
        <v>185</v>
      </c>
    </row>
    <row r="29" spans="1:8" ht="27.75" customHeight="1" x14ac:dyDescent="0.35">
      <c r="A29" s="3">
        <v>25</v>
      </c>
      <c r="B29" s="4" t="s">
        <v>85</v>
      </c>
      <c r="C29" s="3" t="s">
        <v>186</v>
      </c>
      <c r="D29" s="4" t="s">
        <v>187</v>
      </c>
      <c r="E29" s="5" t="s">
        <v>188</v>
      </c>
      <c r="F29" s="5" t="s">
        <v>189</v>
      </c>
      <c r="G29" s="7" t="s">
        <v>79</v>
      </c>
      <c r="H29" s="5" t="s">
        <v>190</v>
      </c>
    </row>
    <row r="30" spans="1:8" ht="27.75" customHeight="1" x14ac:dyDescent="0.35">
      <c r="A30" s="3">
        <v>26</v>
      </c>
      <c r="B30" s="4" t="s">
        <v>85</v>
      </c>
      <c r="C30" s="3" t="s">
        <v>191</v>
      </c>
      <c r="D30" s="4" t="s">
        <v>192</v>
      </c>
      <c r="E30" s="5" t="s">
        <v>193</v>
      </c>
      <c r="F30" s="5" t="s">
        <v>194</v>
      </c>
      <c r="G30" s="8" t="s">
        <v>115</v>
      </c>
      <c r="H30" s="5" t="s">
        <v>195</v>
      </c>
    </row>
    <row r="31" spans="1:8" ht="27.75" customHeight="1" x14ac:dyDescent="0.35">
      <c r="A31" s="3">
        <v>27</v>
      </c>
      <c r="B31" s="4" t="s">
        <v>85</v>
      </c>
      <c r="C31" s="3" t="s">
        <v>196</v>
      </c>
      <c r="D31" s="4" t="s">
        <v>197</v>
      </c>
      <c r="E31" s="5" t="s">
        <v>198</v>
      </c>
      <c r="F31" s="5" t="s">
        <v>199</v>
      </c>
      <c r="G31" s="8" t="s">
        <v>115</v>
      </c>
      <c r="H31" s="5" t="s">
        <v>200</v>
      </c>
    </row>
    <row r="32" spans="1:8" ht="27.75" customHeight="1" x14ac:dyDescent="0.35">
      <c r="A32" s="3">
        <v>28</v>
      </c>
      <c r="B32" s="4" t="s">
        <v>85</v>
      </c>
      <c r="C32" s="3" t="s">
        <v>201</v>
      </c>
      <c r="D32" s="4" t="s">
        <v>202</v>
      </c>
      <c r="E32" s="5" t="s">
        <v>203</v>
      </c>
      <c r="F32" s="5" t="s">
        <v>204</v>
      </c>
      <c r="G32" s="18" t="s">
        <v>74</v>
      </c>
      <c r="H32" s="5" t="s">
        <v>111</v>
      </c>
    </row>
    <row r="33" spans="1:8" ht="27.75" customHeight="1" x14ac:dyDescent="0.35">
      <c r="A33" s="3">
        <v>29</v>
      </c>
      <c r="B33" s="4" t="s">
        <v>85</v>
      </c>
      <c r="C33" s="3" t="s">
        <v>205</v>
      </c>
      <c r="D33" s="4" t="s">
        <v>206</v>
      </c>
      <c r="E33" s="5" t="s">
        <v>207</v>
      </c>
      <c r="F33" s="5" t="s">
        <v>208</v>
      </c>
      <c r="G33" s="8" t="s">
        <v>115</v>
      </c>
      <c r="H33" s="5" t="s">
        <v>209</v>
      </c>
    </row>
    <row r="34" spans="1:8" ht="27.75" customHeight="1" x14ac:dyDescent="0.35">
      <c r="A34" s="3">
        <v>30</v>
      </c>
      <c r="B34" s="4" t="s">
        <v>85</v>
      </c>
      <c r="C34" s="3" t="s">
        <v>210</v>
      </c>
      <c r="D34" s="4" t="s">
        <v>211</v>
      </c>
      <c r="E34" s="5" t="s">
        <v>212</v>
      </c>
      <c r="F34" s="5" t="s">
        <v>213</v>
      </c>
      <c r="G34" s="8" t="s">
        <v>115</v>
      </c>
      <c r="H34" s="5" t="s">
        <v>214</v>
      </c>
    </row>
    <row r="35" spans="1:8" ht="27.75" customHeight="1" x14ac:dyDescent="0.35">
      <c r="A35" s="3">
        <v>31</v>
      </c>
      <c r="B35" s="4" t="s">
        <v>85</v>
      </c>
      <c r="C35" s="3" t="s">
        <v>215</v>
      </c>
      <c r="D35" s="4" t="s">
        <v>216</v>
      </c>
      <c r="E35" s="5" t="s">
        <v>217</v>
      </c>
      <c r="F35" s="5" t="s">
        <v>218</v>
      </c>
      <c r="G35" s="18" t="s">
        <v>74</v>
      </c>
      <c r="H35" s="5" t="s">
        <v>111</v>
      </c>
    </row>
    <row r="36" spans="1:8" ht="27.75" customHeight="1" x14ac:dyDescent="0.35">
      <c r="A36" s="3">
        <v>32</v>
      </c>
      <c r="B36" s="4" t="s">
        <v>85</v>
      </c>
      <c r="C36" s="3" t="s">
        <v>219</v>
      </c>
      <c r="D36" s="4" t="s">
        <v>220</v>
      </c>
      <c r="E36" s="5" t="s">
        <v>221</v>
      </c>
      <c r="F36" s="5" t="s">
        <v>222</v>
      </c>
      <c r="G36" s="18" t="s">
        <v>74</v>
      </c>
      <c r="H36" s="5" t="s">
        <v>111</v>
      </c>
    </row>
    <row r="37" spans="1:8" ht="27.75" customHeight="1" x14ac:dyDescent="0.35">
      <c r="A37" s="3">
        <v>33</v>
      </c>
      <c r="B37" s="4" t="s">
        <v>85</v>
      </c>
      <c r="C37" s="3" t="s">
        <v>223</v>
      </c>
      <c r="D37" s="4" t="s">
        <v>224</v>
      </c>
      <c r="E37" s="5" t="s">
        <v>225</v>
      </c>
      <c r="F37" s="5" t="s">
        <v>204</v>
      </c>
      <c r="G37" s="18" t="s">
        <v>74</v>
      </c>
      <c r="H37" s="5" t="s">
        <v>111</v>
      </c>
    </row>
    <row r="38" spans="1:8" ht="27.75" customHeight="1" x14ac:dyDescent="0.35">
      <c r="A38" s="3">
        <v>34</v>
      </c>
      <c r="B38" s="4" t="s">
        <v>85</v>
      </c>
      <c r="C38" s="3" t="s">
        <v>226</v>
      </c>
      <c r="D38" s="4" t="s">
        <v>227</v>
      </c>
      <c r="E38" s="5" t="s">
        <v>228</v>
      </c>
      <c r="F38" s="5" t="s">
        <v>229</v>
      </c>
      <c r="G38" s="18" t="s">
        <v>74</v>
      </c>
      <c r="H38" s="5" t="s">
        <v>111</v>
      </c>
    </row>
    <row r="39" spans="1:8" ht="27.75" customHeight="1" x14ac:dyDescent="0.35">
      <c r="A39" s="3">
        <v>35</v>
      </c>
      <c r="B39" s="4" t="s">
        <v>85</v>
      </c>
      <c r="C39" s="3" t="s">
        <v>230</v>
      </c>
      <c r="D39" s="4" t="s">
        <v>231</v>
      </c>
      <c r="E39" s="5" t="s">
        <v>232</v>
      </c>
      <c r="F39" s="5" t="s">
        <v>229</v>
      </c>
      <c r="G39" s="18" t="s">
        <v>74</v>
      </c>
      <c r="H39" s="5" t="s">
        <v>111</v>
      </c>
    </row>
    <row r="40" spans="1:8" ht="27.75" customHeight="1" x14ac:dyDescent="0.35">
      <c r="A40" s="3">
        <v>36</v>
      </c>
      <c r="B40" s="4" t="s">
        <v>85</v>
      </c>
      <c r="C40" s="3" t="s">
        <v>233</v>
      </c>
      <c r="D40" s="4" t="s">
        <v>234</v>
      </c>
      <c r="E40" s="5" t="s">
        <v>235</v>
      </c>
      <c r="F40" s="5" t="s">
        <v>236</v>
      </c>
      <c r="G40" s="8" t="s">
        <v>115</v>
      </c>
      <c r="H40" s="5" t="s">
        <v>237</v>
      </c>
    </row>
    <row r="41" spans="1:8" ht="27.75" customHeight="1" x14ac:dyDescent="0.35">
      <c r="A41" s="3">
        <v>37</v>
      </c>
      <c r="B41" s="4" t="s">
        <v>85</v>
      </c>
      <c r="C41" s="3" t="s">
        <v>238</v>
      </c>
      <c r="D41" s="4" t="s">
        <v>239</v>
      </c>
      <c r="E41" s="5" t="s">
        <v>240</v>
      </c>
      <c r="F41" s="5" t="s">
        <v>110</v>
      </c>
      <c r="G41" s="8" t="s">
        <v>115</v>
      </c>
      <c r="H41" s="5" t="s">
        <v>241</v>
      </c>
    </row>
    <row r="42" spans="1:8" ht="27.75" customHeight="1" x14ac:dyDescent="0.35">
      <c r="A42" s="3">
        <v>38</v>
      </c>
      <c r="B42" s="4" t="s">
        <v>85</v>
      </c>
      <c r="C42" s="3" t="s">
        <v>242</v>
      </c>
      <c r="D42" s="4" t="s">
        <v>243</v>
      </c>
      <c r="E42" s="5" t="s">
        <v>244</v>
      </c>
      <c r="F42" s="5" t="s">
        <v>128</v>
      </c>
      <c r="G42" s="8" t="s">
        <v>115</v>
      </c>
      <c r="H42" s="5" t="s">
        <v>245</v>
      </c>
    </row>
    <row r="43" spans="1:8" ht="27.75" customHeight="1" x14ac:dyDescent="0.35">
      <c r="A43" s="3">
        <v>39</v>
      </c>
      <c r="B43" s="4" t="s">
        <v>85</v>
      </c>
      <c r="C43" s="3" t="s">
        <v>246</v>
      </c>
      <c r="D43" s="4" t="s">
        <v>247</v>
      </c>
      <c r="E43" s="5" t="s">
        <v>248</v>
      </c>
      <c r="F43" s="5" t="s">
        <v>152</v>
      </c>
      <c r="G43" s="8" t="s">
        <v>115</v>
      </c>
      <c r="H43" s="5" t="s">
        <v>249</v>
      </c>
    </row>
    <row r="44" spans="1:8" ht="27.75" customHeight="1" x14ac:dyDescent="0.35">
      <c r="A44" s="3">
        <v>40</v>
      </c>
      <c r="B44" s="4" t="s">
        <v>85</v>
      </c>
      <c r="C44" s="3" t="s">
        <v>250</v>
      </c>
      <c r="D44" s="4" t="s">
        <v>251</v>
      </c>
      <c r="E44" s="5" t="s">
        <v>252</v>
      </c>
      <c r="F44" s="5" t="s">
        <v>152</v>
      </c>
      <c r="G44" s="8" t="s">
        <v>115</v>
      </c>
      <c r="H44" s="5" t="s">
        <v>253</v>
      </c>
    </row>
    <row r="45" spans="1:8" ht="27.75" customHeight="1" x14ac:dyDescent="0.35">
      <c r="A45" s="9">
        <v>41</v>
      </c>
      <c r="B45" s="10" t="s">
        <v>27</v>
      </c>
      <c r="C45" s="9" t="s">
        <v>75</v>
      </c>
      <c r="D45" s="10" t="s">
        <v>254</v>
      </c>
      <c r="E45" s="11" t="s">
        <v>255</v>
      </c>
      <c r="F45" s="11" t="s">
        <v>142</v>
      </c>
      <c r="G45" s="19" t="s">
        <v>115</v>
      </c>
      <c r="H45" s="11" t="s">
        <v>256</v>
      </c>
    </row>
    <row r="46" spans="1:8" ht="27.75" customHeight="1" x14ac:dyDescent="0.35">
      <c r="A46" s="3">
        <v>42</v>
      </c>
      <c r="B46" s="4" t="s">
        <v>27</v>
      </c>
      <c r="C46" s="3" t="s">
        <v>81</v>
      </c>
      <c r="D46" s="4" t="s">
        <v>257</v>
      </c>
      <c r="E46" s="5" t="s">
        <v>258</v>
      </c>
      <c r="F46" s="5" t="s">
        <v>259</v>
      </c>
      <c r="G46" s="8" t="s">
        <v>115</v>
      </c>
      <c r="H46" s="5" t="s">
        <v>260</v>
      </c>
    </row>
    <row r="47" spans="1:8" ht="27.75" customHeight="1" x14ac:dyDescent="0.35">
      <c r="A47" s="3">
        <v>43</v>
      </c>
      <c r="B47" s="4" t="s">
        <v>27</v>
      </c>
      <c r="C47" s="3" t="s">
        <v>86</v>
      </c>
      <c r="D47" s="4" t="s">
        <v>261</v>
      </c>
      <c r="E47" s="5" t="s">
        <v>262</v>
      </c>
      <c r="F47" s="5" t="s">
        <v>142</v>
      </c>
      <c r="G47" s="8" t="s">
        <v>115</v>
      </c>
      <c r="H47" s="5" t="s">
        <v>263</v>
      </c>
    </row>
    <row r="48" spans="1:8" ht="27.75" customHeight="1" x14ac:dyDescent="0.35">
      <c r="A48" s="3">
        <v>44</v>
      </c>
      <c r="B48" s="4" t="s">
        <v>27</v>
      </c>
      <c r="C48" s="3" t="s">
        <v>90</v>
      </c>
      <c r="D48" s="4" t="s">
        <v>264</v>
      </c>
      <c r="E48" s="5" t="s">
        <v>265</v>
      </c>
      <c r="F48" s="5" t="s">
        <v>266</v>
      </c>
      <c r="G48" s="7" t="s">
        <v>79</v>
      </c>
      <c r="H48" s="5" t="s">
        <v>267</v>
      </c>
    </row>
    <row r="49" spans="1:8" ht="27.75" customHeight="1" x14ac:dyDescent="0.35">
      <c r="A49" s="9">
        <v>45</v>
      </c>
      <c r="B49" s="10" t="s">
        <v>94</v>
      </c>
      <c r="C49" s="9" t="s">
        <v>268</v>
      </c>
      <c r="D49" s="10" t="s">
        <v>269</v>
      </c>
      <c r="E49" s="11" t="s">
        <v>270</v>
      </c>
      <c r="F49" s="11" t="s">
        <v>259</v>
      </c>
      <c r="G49" s="19" t="s">
        <v>115</v>
      </c>
      <c r="H49" s="11" t="s">
        <v>271</v>
      </c>
    </row>
    <row r="50" spans="1:8" ht="27.75" customHeight="1" x14ac:dyDescent="0.35">
      <c r="A50" s="3">
        <v>46</v>
      </c>
      <c r="B50" s="4" t="s">
        <v>94</v>
      </c>
      <c r="C50" s="3" t="s">
        <v>272</v>
      </c>
      <c r="D50" s="4" t="s">
        <v>273</v>
      </c>
      <c r="E50" s="5" t="s">
        <v>274</v>
      </c>
      <c r="F50" s="5" t="s">
        <v>275</v>
      </c>
      <c r="G50" s="8" t="s">
        <v>115</v>
      </c>
      <c r="H50" s="5" t="s">
        <v>276</v>
      </c>
    </row>
    <row r="51" spans="1:8" ht="27.75" customHeight="1" x14ac:dyDescent="0.35">
      <c r="A51" s="3">
        <v>47</v>
      </c>
      <c r="B51" s="4" t="s">
        <v>94</v>
      </c>
      <c r="C51" s="3" t="s">
        <v>277</v>
      </c>
      <c r="D51" s="4" t="s">
        <v>278</v>
      </c>
      <c r="E51" s="5" t="s">
        <v>279</v>
      </c>
      <c r="F51" s="5" t="s">
        <v>142</v>
      </c>
      <c r="G51" s="8" t="s">
        <v>115</v>
      </c>
      <c r="H51" s="5" t="s">
        <v>280</v>
      </c>
    </row>
    <row r="52" spans="1:8" ht="42" customHeight="1" x14ac:dyDescent="0.35">
      <c r="A52" s="3">
        <v>48</v>
      </c>
      <c r="B52" s="4" t="s">
        <v>94</v>
      </c>
      <c r="C52" s="3" t="s">
        <v>281</v>
      </c>
      <c r="D52" s="4" t="s">
        <v>282</v>
      </c>
      <c r="E52" s="5" t="s">
        <v>283</v>
      </c>
      <c r="F52" s="5" t="s">
        <v>78</v>
      </c>
      <c r="G52" s="7" t="s">
        <v>79</v>
      </c>
      <c r="H52" s="5" t="s">
        <v>284</v>
      </c>
    </row>
    <row r="53" spans="1:8" ht="27.75" customHeight="1" x14ac:dyDescent="0.35">
      <c r="A53" s="3">
        <v>49</v>
      </c>
      <c r="B53" s="4" t="s">
        <v>94</v>
      </c>
      <c r="C53" s="3" t="s">
        <v>285</v>
      </c>
      <c r="D53" s="4" t="s">
        <v>286</v>
      </c>
      <c r="E53" s="5" t="s">
        <v>287</v>
      </c>
      <c r="F53" s="5" t="s">
        <v>288</v>
      </c>
      <c r="G53" s="8" t="s">
        <v>115</v>
      </c>
      <c r="H53" s="5" t="s">
        <v>289</v>
      </c>
    </row>
    <row r="54" spans="1:8" ht="27.75" customHeight="1" x14ac:dyDescent="0.35">
      <c r="A54" s="3">
        <v>50</v>
      </c>
      <c r="B54" s="4" t="s">
        <v>94</v>
      </c>
      <c r="C54" s="3" t="s">
        <v>290</v>
      </c>
      <c r="D54" s="4" t="s">
        <v>291</v>
      </c>
      <c r="E54" s="5" t="s">
        <v>292</v>
      </c>
      <c r="F54" s="5" t="s">
        <v>293</v>
      </c>
      <c r="G54" s="8" t="s">
        <v>115</v>
      </c>
      <c r="H54" s="5" t="s">
        <v>294</v>
      </c>
    </row>
    <row r="55" spans="1:8" ht="27.75" customHeight="1" x14ac:dyDescent="0.35">
      <c r="A55" s="3">
        <v>51</v>
      </c>
      <c r="B55" s="4" t="s">
        <v>94</v>
      </c>
      <c r="C55" s="3" t="s">
        <v>295</v>
      </c>
      <c r="D55" s="4" t="s">
        <v>296</v>
      </c>
      <c r="E55" s="5" t="s">
        <v>297</v>
      </c>
      <c r="F55" s="5" t="s">
        <v>298</v>
      </c>
      <c r="G55" s="18" t="s">
        <v>74</v>
      </c>
      <c r="H55" s="5" t="s">
        <v>111</v>
      </c>
    </row>
    <row r="56" spans="1:8" ht="27.75" customHeight="1" x14ac:dyDescent="0.35">
      <c r="A56" s="3">
        <v>52</v>
      </c>
      <c r="B56" s="4" t="s">
        <v>94</v>
      </c>
      <c r="C56" s="3" t="s">
        <v>299</v>
      </c>
      <c r="D56" s="4" t="s">
        <v>300</v>
      </c>
      <c r="E56" s="5" t="s">
        <v>301</v>
      </c>
      <c r="F56" s="5" t="s">
        <v>222</v>
      </c>
      <c r="G56" s="18" t="s">
        <v>74</v>
      </c>
      <c r="H56" s="5" t="s">
        <v>111</v>
      </c>
    </row>
    <row r="57" spans="1:8" ht="27.75" customHeight="1" x14ac:dyDescent="0.35">
      <c r="A57" s="3">
        <v>53</v>
      </c>
      <c r="B57" s="4" t="s">
        <v>94</v>
      </c>
      <c r="C57" s="3" t="s">
        <v>302</v>
      </c>
      <c r="D57" s="4" t="s">
        <v>303</v>
      </c>
      <c r="E57" s="5" t="s">
        <v>304</v>
      </c>
      <c r="F57" s="5" t="s">
        <v>305</v>
      </c>
      <c r="G57" s="8" t="s">
        <v>115</v>
      </c>
      <c r="H57" s="5" t="s">
        <v>306</v>
      </c>
    </row>
    <row r="58" spans="1:8" ht="27.75" customHeight="1" x14ac:dyDescent="0.35">
      <c r="A58" s="3">
        <v>54</v>
      </c>
      <c r="B58" s="4" t="s">
        <v>94</v>
      </c>
      <c r="C58" s="3" t="s">
        <v>307</v>
      </c>
      <c r="D58" s="4" t="s">
        <v>308</v>
      </c>
      <c r="E58" s="5" t="s">
        <v>309</v>
      </c>
      <c r="F58" s="5" t="s">
        <v>142</v>
      </c>
      <c r="G58" s="8" t="s">
        <v>115</v>
      </c>
      <c r="H58" s="5" t="s">
        <v>310</v>
      </c>
    </row>
    <row r="59" spans="1:8" ht="27.75" customHeight="1" x14ac:dyDescent="0.35">
      <c r="A59" s="3">
        <v>55</v>
      </c>
      <c r="B59" s="4" t="s">
        <v>94</v>
      </c>
      <c r="C59" s="3" t="s">
        <v>311</v>
      </c>
      <c r="D59" s="4" t="s">
        <v>312</v>
      </c>
      <c r="E59" s="5" t="s">
        <v>313</v>
      </c>
      <c r="F59" s="5" t="s">
        <v>314</v>
      </c>
      <c r="G59" s="8" t="s">
        <v>115</v>
      </c>
      <c r="H59" s="5" t="s">
        <v>315</v>
      </c>
    </row>
    <row r="60" spans="1:8" ht="27.75" customHeight="1" x14ac:dyDescent="0.35">
      <c r="A60" s="9">
        <v>56</v>
      </c>
      <c r="B60" s="10" t="s">
        <v>100</v>
      </c>
      <c r="C60" s="9" t="s">
        <v>75</v>
      </c>
      <c r="D60" s="10" t="s">
        <v>316</v>
      </c>
      <c r="E60" s="11" t="s">
        <v>317</v>
      </c>
      <c r="F60" s="11" t="s">
        <v>172</v>
      </c>
      <c r="G60" s="19" t="s">
        <v>115</v>
      </c>
      <c r="H60" s="11" t="s">
        <v>318</v>
      </c>
    </row>
    <row r="61" spans="1:8" ht="27.75" customHeight="1" x14ac:dyDescent="0.35">
      <c r="A61" s="3">
        <v>57</v>
      </c>
      <c r="B61" s="4" t="s">
        <v>100</v>
      </c>
      <c r="C61" s="3" t="s">
        <v>81</v>
      </c>
      <c r="D61" s="4" t="s">
        <v>319</v>
      </c>
      <c r="E61" s="5" t="s">
        <v>320</v>
      </c>
      <c r="F61" s="5" t="s">
        <v>321</v>
      </c>
      <c r="G61" s="18" t="s">
        <v>74</v>
      </c>
      <c r="H61" s="5" t="s">
        <v>111</v>
      </c>
    </row>
    <row r="62" spans="1:8" ht="27.75" customHeight="1" x14ac:dyDescent="0.35">
      <c r="A62" s="3">
        <v>58</v>
      </c>
      <c r="B62" s="4" t="s">
        <v>100</v>
      </c>
      <c r="C62" s="3" t="s">
        <v>86</v>
      </c>
      <c r="D62" s="4" t="s">
        <v>322</v>
      </c>
      <c r="E62" s="5" t="s">
        <v>323</v>
      </c>
      <c r="F62" s="5" t="s">
        <v>324</v>
      </c>
      <c r="G62" s="18" t="s">
        <v>74</v>
      </c>
      <c r="H62" s="5" t="s">
        <v>111</v>
      </c>
    </row>
    <row r="63" spans="1:8" ht="27.75" customHeight="1" x14ac:dyDescent="0.35">
      <c r="A63" s="3">
        <v>59</v>
      </c>
      <c r="B63" s="4" t="s">
        <v>100</v>
      </c>
      <c r="C63" s="3" t="s">
        <v>90</v>
      </c>
      <c r="D63" s="4" t="s">
        <v>325</v>
      </c>
      <c r="E63" s="5" t="s">
        <v>326</v>
      </c>
      <c r="F63" s="5" t="s">
        <v>204</v>
      </c>
      <c r="G63" s="18" t="s">
        <v>74</v>
      </c>
      <c r="H63" s="5" t="s">
        <v>111</v>
      </c>
    </row>
    <row r="64" spans="1:8" ht="27.75" customHeight="1" x14ac:dyDescent="0.35">
      <c r="A64" s="3">
        <v>60</v>
      </c>
      <c r="B64" s="4" t="s">
        <v>100</v>
      </c>
      <c r="C64" s="3" t="s">
        <v>95</v>
      </c>
      <c r="D64" s="4" t="s">
        <v>327</v>
      </c>
      <c r="E64" s="5" t="s">
        <v>328</v>
      </c>
      <c r="F64" s="5" t="s">
        <v>329</v>
      </c>
      <c r="G64" s="7" t="s">
        <v>79</v>
      </c>
      <c r="H64" s="5" t="s">
        <v>330</v>
      </c>
    </row>
    <row r="65" spans="1:8" ht="27.75" customHeight="1" x14ac:dyDescent="0.35">
      <c r="A65" s="3">
        <v>61</v>
      </c>
      <c r="B65" s="4" t="s">
        <v>100</v>
      </c>
      <c r="C65" s="3" t="s">
        <v>101</v>
      </c>
      <c r="D65" s="4" t="s">
        <v>331</v>
      </c>
      <c r="E65" s="5" t="s">
        <v>332</v>
      </c>
      <c r="F65" s="5" t="s">
        <v>208</v>
      </c>
      <c r="G65" s="18" t="s">
        <v>74</v>
      </c>
      <c r="H65" s="5" t="s">
        <v>111</v>
      </c>
    </row>
    <row r="66" spans="1:8" ht="27.75" customHeight="1" x14ac:dyDescent="0.35">
      <c r="A66" s="3">
        <v>62</v>
      </c>
      <c r="B66" s="4" t="s">
        <v>100</v>
      </c>
      <c r="C66" s="3" t="s">
        <v>333</v>
      </c>
      <c r="D66" s="4" t="s">
        <v>334</v>
      </c>
      <c r="E66" s="5" t="s">
        <v>335</v>
      </c>
      <c r="F66" s="5" t="s">
        <v>336</v>
      </c>
      <c r="G66" s="18" t="s">
        <v>74</v>
      </c>
      <c r="H66" s="5" t="s">
        <v>111</v>
      </c>
    </row>
    <row r="67" spans="1:8" ht="27.75" customHeight="1" x14ac:dyDescent="0.35">
      <c r="A67" s="3">
        <v>63</v>
      </c>
      <c r="B67" s="4" t="s">
        <v>100</v>
      </c>
      <c r="C67" s="3" t="s">
        <v>337</v>
      </c>
      <c r="D67" s="4" t="s">
        <v>338</v>
      </c>
      <c r="E67" s="5" t="s">
        <v>339</v>
      </c>
      <c r="F67" s="5" t="s">
        <v>340</v>
      </c>
      <c r="G67" s="18" t="s">
        <v>74</v>
      </c>
      <c r="H67" s="5" t="s">
        <v>111</v>
      </c>
    </row>
    <row r="68" spans="1:8" ht="27.75" customHeight="1" x14ac:dyDescent="0.35">
      <c r="A68" s="3">
        <v>64</v>
      </c>
      <c r="B68" s="4" t="s">
        <v>100</v>
      </c>
      <c r="C68" s="3" t="s">
        <v>341</v>
      </c>
      <c r="D68" s="4" t="s">
        <v>342</v>
      </c>
      <c r="E68" s="5" t="s">
        <v>343</v>
      </c>
      <c r="F68" s="5" t="s">
        <v>213</v>
      </c>
      <c r="G68" s="8" t="s">
        <v>115</v>
      </c>
      <c r="H68" s="5" t="s">
        <v>344</v>
      </c>
    </row>
    <row r="69" spans="1:8" ht="27.75" customHeight="1" x14ac:dyDescent="0.35">
      <c r="A69" s="3">
        <v>65</v>
      </c>
      <c r="B69" s="4" t="s">
        <v>100</v>
      </c>
      <c r="C69" s="3" t="s">
        <v>345</v>
      </c>
      <c r="D69" s="4" t="s">
        <v>346</v>
      </c>
      <c r="E69" s="5" t="s">
        <v>347</v>
      </c>
      <c r="F69" s="5" t="s">
        <v>348</v>
      </c>
      <c r="G69" s="8" t="s">
        <v>115</v>
      </c>
      <c r="H69" s="5" t="s">
        <v>349</v>
      </c>
    </row>
    <row r="70" spans="1:8" ht="27.75" customHeight="1" x14ac:dyDescent="0.35">
      <c r="A70" s="3">
        <v>66</v>
      </c>
      <c r="B70" s="4" t="s">
        <v>100</v>
      </c>
      <c r="C70" s="3" t="s">
        <v>350</v>
      </c>
      <c r="D70" s="4" t="s">
        <v>351</v>
      </c>
      <c r="E70" s="5" t="s">
        <v>352</v>
      </c>
      <c r="F70" s="5" t="s">
        <v>142</v>
      </c>
      <c r="G70" s="8" t="s">
        <v>115</v>
      </c>
      <c r="H70" s="5" t="s">
        <v>353</v>
      </c>
    </row>
    <row r="71" spans="1:8" ht="27.75" customHeight="1" x14ac:dyDescent="0.35">
      <c r="A71" s="3">
        <v>67</v>
      </c>
      <c r="B71" s="4" t="s">
        <v>100</v>
      </c>
      <c r="C71" s="3" t="s">
        <v>354</v>
      </c>
      <c r="D71" s="4" t="s">
        <v>355</v>
      </c>
      <c r="E71" s="5" t="s">
        <v>356</v>
      </c>
      <c r="F71" s="5" t="s">
        <v>142</v>
      </c>
      <c r="G71" s="8" t="s">
        <v>115</v>
      </c>
      <c r="H71" s="5" t="s">
        <v>214</v>
      </c>
    </row>
    <row r="72" spans="1:8" ht="27.75" customHeight="1" x14ac:dyDescent="0.35">
      <c r="A72" s="3">
        <v>68</v>
      </c>
      <c r="B72" s="4" t="s">
        <v>100</v>
      </c>
      <c r="C72" s="3" t="s">
        <v>357</v>
      </c>
      <c r="D72" s="4" t="s">
        <v>358</v>
      </c>
      <c r="E72" s="5" t="s">
        <v>359</v>
      </c>
      <c r="F72" s="5" t="s">
        <v>360</v>
      </c>
      <c r="G72" s="18" t="s">
        <v>74</v>
      </c>
      <c r="H72" s="5" t="s">
        <v>111</v>
      </c>
    </row>
    <row r="73" spans="1:8" ht="27.75" customHeight="1" x14ac:dyDescent="0.35">
      <c r="A73" s="9">
        <v>69</v>
      </c>
      <c r="B73" s="10" t="s">
        <v>106</v>
      </c>
      <c r="C73" s="9" t="s">
        <v>361</v>
      </c>
      <c r="D73" s="10" t="s">
        <v>362</v>
      </c>
      <c r="E73" s="11" t="s">
        <v>363</v>
      </c>
      <c r="F73" s="11" t="s">
        <v>364</v>
      </c>
      <c r="G73" s="15" t="s">
        <v>74</v>
      </c>
      <c r="H73" s="11" t="s">
        <v>111</v>
      </c>
    </row>
    <row r="74" spans="1:8" ht="27.75" customHeight="1" x14ac:dyDescent="0.35">
      <c r="A74" s="3">
        <v>70</v>
      </c>
      <c r="B74" s="4" t="s">
        <v>106</v>
      </c>
      <c r="C74" s="3" t="s">
        <v>125</v>
      </c>
      <c r="D74" s="4" t="s">
        <v>126</v>
      </c>
      <c r="E74" s="5" t="s">
        <v>365</v>
      </c>
      <c r="F74" s="5" t="s">
        <v>128</v>
      </c>
      <c r="G74" s="18" t="s">
        <v>74</v>
      </c>
      <c r="H74" s="5" t="s">
        <v>111</v>
      </c>
    </row>
    <row r="75" spans="1:8" ht="27.75" customHeight="1" x14ac:dyDescent="0.35">
      <c r="A75" s="3">
        <v>71</v>
      </c>
      <c r="B75" s="4" t="s">
        <v>106</v>
      </c>
      <c r="C75" s="3" t="s">
        <v>129</v>
      </c>
      <c r="D75" s="4" t="s">
        <v>366</v>
      </c>
      <c r="E75" s="5" t="s">
        <v>367</v>
      </c>
      <c r="F75" s="5" t="s">
        <v>368</v>
      </c>
      <c r="G75" s="8" t="s">
        <v>115</v>
      </c>
      <c r="H75" s="5" t="s">
        <v>133</v>
      </c>
    </row>
    <row r="76" spans="1:8" ht="27.75" customHeight="1" x14ac:dyDescent="0.35">
      <c r="A76" s="3">
        <v>72</v>
      </c>
      <c r="B76" s="4" t="s">
        <v>106</v>
      </c>
      <c r="C76" s="3" t="s">
        <v>134</v>
      </c>
      <c r="D76" s="4" t="s">
        <v>135</v>
      </c>
      <c r="E76" s="5" t="s">
        <v>369</v>
      </c>
      <c r="F76" s="5" t="s">
        <v>137</v>
      </c>
      <c r="G76" s="7" t="s">
        <v>79</v>
      </c>
      <c r="H76" s="5" t="s">
        <v>370</v>
      </c>
    </row>
    <row r="77" spans="1:8" ht="27.75" customHeight="1" x14ac:dyDescent="0.35">
      <c r="A77" s="3">
        <v>73</v>
      </c>
      <c r="B77" s="4" t="s">
        <v>106</v>
      </c>
      <c r="C77" s="3" t="s">
        <v>144</v>
      </c>
      <c r="D77" s="4" t="s">
        <v>371</v>
      </c>
      <c r="E77" s="5" t="s">
        <v>372</v>
      </c>
      <c r="F77" s="5" t="s">
        <v>373</v>
      </c>
      <c r="G77" s="18" t="s">
        <v>74</v>
      </c>
      <c r="H77" s="5" t="s">
        <v>111</v>
      </c>
    </row>
    <row r="78" spans="1:8" ht="27.75" customHeight="1" x14ac:dyDescent="0.35">
      <c r="A78" s="3">
        <v>74</v>
      </c>
      <c r="B78" s="4" t="s">
        <v>106</v>
      </c>
      <c r="C78" s="3" t="s">
        <v>149</v>
      </c>
      <c r="D78" s="4" t="s">
        <v>374</v>
      </c>
      <c r="E78" s="5" t="s">
        <v>375</v>
      </c>
      <c r="F78" s="5" t="s">
        <v>373</v>
      </c>
      <c r="G78" s="18" t="s">
        <v>74</v>
      </c>
      <c r="H78" s="5" t="s">
        <v>111</v>
      </c>
    </row>
    <row r="79" spans="1:8" ht="27.75" customHeight="1" x14ac:dyDescent="0.35">
      <c r="A79" s="3">
        <v>75</v>
      </c>
      <c r="B79" s="4" t="s">
        <v>106</v>
      </c>
      <c r="C79" s="3" t="s">
        <v>154</v>
      </c>
      <c r="D79" s="4" t="s">
        <v>376</v>
      </c>
      <c r="E79" s="5" t="s">
        <v>377</v>
      </c>
      <c r="F79" s="5" t="s">
        <v>378</v>
      </c>
      <c r="G79" s="18" t="s">
        <v>74</v>
      </c>
      <c r="H79" s="5" t="s">
        <v>111</v>
      </c>
    </row>
    <row r="80" spans="1:8" ht="27.75" customHeight="1" x14ac:dyDescent="0.35">
      <c r="A80" s="3">
        <v>76</v>
      </c>
      <c r="B80" s="4" t="s">
        <v>106</v>
      </c>
      <c r="C80" s="3" t="s">
        <v>379</v>
      </c>
      <c r="D80" s="4" t="s">
        <v>380</v>
      </c>
      <c r="E80" s="5" t="s">
        <v>381</v>
      </c>
      <c r="F80" s="5" t="s">
        <v>373</v>
      </c>
      <c r="G80" s="18" t="s">
        <v>74</v>
      </c>
      <c r="H80" s="5" t="s">
        <v>111</v>
      </c>
    </row>
    <row r="81" spans="1:8" ht="27.75" customHeight="1" x14ac:dyDescent="0.35">
      <c r="A81" s="3">
        <v>77</v>
      </c>
      <c r="B81" s="4" t="s">
        <v>106</v>
      </c>
      <c r="C81" s="3" t="s">
        <v>382</v>
      </c>
      <c r="D81" s="4" t="s">
        <v>383</v>
      </c>
      <c r="E81" s="5" t="s">
        <v>384</v>
      </c>
      <c r="F81" s="5" t="s">
        <v>373</v>
      </c>
      <c r="G81" s="18" t="s">
        <v>74</v>
      </c>
      <c r="H81" s="5" t="s">
        <v>111</v>
      </c>
    </row>
    <row r="82" spans="1:8" ht="27.75" customHeight="1" x14ac:dyDescent="0.35">
      <c r="A82" s="3">
        <v>78</v>
      </c>
      <c r="B82" s="4" t="s">
        <v>106</v>
      </c>
      <c r="C82" s="3" t="s">
        <v>385</v>
      </c>
      <c r="D82" s="4" t="s">
        <v>386</v>
      </c>
      <c r="E82" s="5" t="s">
        <v>387</v>
      </c>
      <c r="F82" s="5" t="s">
        <v>388</v>
      </c>
      <c r="G82" s="18" t="s">
        <v>74</v>
      </c>
      <c r="H82" s="5" t="s">
        <v>111</v>
      </c>
    </row>
    <row r="83" spans="1:8" ht="27.75" customHeight="1" x14ac:dyDescent="0.35">
      <c r="A83" s="3">
        <v>79</v>
      </c>
      <c r="B83" s="4" t="s">
        <v>106</v>
      </c>
      <c r="C83" s="3" t="s">
        <v>389</v>
      </c>
      <c r="D83" s="4" t="s">
        <v>390</v>
      </c>
      <c r="E83" s="5" t="s">
        <v>391</v>
      </c>
      <c r="F83" s="5" t="s">
        <v>128</v>
      </c>
      <c r="G83" s="18" t="s">
        <v>74</v>
      </c>
      <c r="H83" s="5" t="s">
        <v>111</v>
      </c>
    </row>
    <row r="84" spans="1:8" ht="27.75" customHeight="1" x14ac:dyDescent="0.35">
      <c r="A84" s="3">
        <v>80</v>
      </c>
      <c r="B84" s="4" t="s">
        <v>106</v>
      </c>
      <c r="C84" s="3" t="s">
        <v>182</v>
      </c>
      <c r="D84" s="4" t="s">
        <v>183</v>
      </c>
      <c r="E84" s="5" t="s">
        <v>392</v>
      </c>
      <c r="F84" s="5" t="s">
        <v>78</v>
      </c>
      <c r="G84" s="7" t="s">
        <v>79</v>
      </c>
      <c r="H84" s="5" t="s">
        <v>393</v>
      </c>
    </row>
    <row r="85" spans="1:8" ht="27.75" customHeight="1" x14ac:dyDescent="0.35">
      <c r="A85" s="3">
        <v>81</v>
      </c>
      <c r="B85" s="4" t="s">
        <v>106</v>
      </c>
      <c r="C85" s="3" t="s">
        <v>186</v>
      </c>
      <c r="D85" s="4" t="s">
        <v>187</v>
      </c>
      <c r="E85" s="5" t="s">
        <v>394</v>
      </c>
      <c r="F85" s="5" t="s">
        <v>395</v>
      </c>
      <c r="G85" s="7" t="s">
        <v>79</v>
      </c>
      <c r="H85" s="5" t="s">
        <v>396</v>
      </c>
    </row>
    <row r="86" spans="1:8" ht="27.75" customHeight="1" x14ac:dyDescent="0.35">
      <c r="A86" s="3">
        <v>82</v>
      </c>
      <c r="B86" s="4" t="s">
        <v>106</v>
      </c>
      <c r="C86" s="3" t="s">
        <v>191</v>
      </c>
      <c r="D86" s="4" t="s">
        <v>192</v>
      </c>
      <c r="E86" s="5" t="s">
        <v>397</v>
      </c>
      <c r="F86" s="5" t="s">
        <v>398</v>
      </c>
      <c r="G86" s="8" t="s">
        <v>115</v>
      </c>
      <c r="H86" s="5" t="s">
        <v>399</v>
      </c>
    </row>
    <row r="87" spans="1:8" ht="27.75" customHeight="1" x14ac:dyDescent="0.35">
      <c r="A87" s="3">
        <v>83</v>
      </c>
      <c r="B87" s="4" t="s">
        <v>106</v>
      </c>
      <c r="C87" s="3" t="s">
        <v>196</v>
      </c>
      <c r="D87" s="4" t="s">
        <v>197</v>
      </c>
      <c r="E87" s="5" t="s">
        <v>400</v>
      </c>
      <c r="F87" s="5" t="s">
        <v>401</v>
      </c>
      <c r="G87" s="8" t="s">
        <v>115</v>
      </c>
      <c r="H87" s="5" t="s">
        <v>402</v>
      </c>
    </row>
    <row r="88" spans="1:8" ht="27.75" customHeight="1" x14ac:dyDescent="0.35">
      <c r="A88" s="3">
        <v>84</v>
      </c>
      <c r="B88" s="4" t="s">
        <v>106</v>
      </c>
      <c r="C88" s="3" t="s">
        <v>201</v>
      </c>
      <c r="D88" s="4" t="s">
        <v>202</v>
      </c>
      <c r="E88" s="5" t="s">
        <v>403</v>
      </c>
      <c r="F88" s="5" t="s">
        <v>204</v>
      </c>
      <c r="G88" s="18" t="s">
        <v>74</v>
      </c>
      <c r="H88" s="5" t="s">
        <v>111</v>
      </c>
    </row>
    <row r="89" spans="1:8" ht="27.75" customHeight="1" x14ac:dyDescent="0.35">
      <c r="A89" s="3">
        <v>85</v>
      </c>
      <c r="B89" s="4" t="s">
        <v>106</v>
      </c>
      <c r="C89" s="3" t="s">
        <v>210</v>
      </c>
      <c r="D89" s="4" t="s">
        <v>404</v>
      </c>
      <c r="E89" s="5" t="s">
        <v>405</v>
      </c>
      <c r="F89" s="5" t="s">
        <v>218</v>
      </c>
      <c r="G89" s="18" t="s">
        <v>74</v>
      </c>
      <c r="H89" s="5" t="s">
        <v>111</v>
      </c>
    </row>
    <row r="90" spans="1:8" ht="27.75" customHeight="1" x14ac:dyDescent="0.35">
      <c r="A90" s="3">
        <v>86</v>
      </c>
      <c r="B90" s="4" t="s">
        <v>106</v>
      </c>
      <c r="C90" s="3" t="s">
        <v>215</v>
      </c>
      <c r="D90" s="4" t="s">
        <v>406</v>
      </c>
      <c r="E90" s="5" t="s">
        <v>407</v>
      </c>
      <c r="F90" s="5" t="s">
        <v>222</v>
      </c>
      <c r="G90" s="18" t="s">
        <v>74</v>
      </c>
      <c r="H90" s="5" t="s">
        <v>111</v>
      </c>
    </row>
    <row r="91" spans="1:8" ht="27.75" customHeight="1" x14ac:dyDescent="0.35">
      <c r="A91" s="3">
        <v>87</v>
      </c>
      <c r="B91" s="4" t="s">
        <v>106</v>
      </c>
      <c r="C91" s="3" t="s">
        <v>233</v>
      </c>
      <c r="D91" s="4" t="s">
        <v>408</v>
      </c>
      <c r="E91" s="5" t="s">
        <v>409</v>
      </c>
      <c r="F91" s="5" t="s">
        <v>373</v>
      </c>
      <c r="G91" s="18" t="s">
        <v>74</v>
      </c>
      <c r="H91" s="5" t="s">
        <v>111</v>
      </c>
    </row>
    <row r="92" spans="1:8" ht="27.75" customHeight="1" x14ac:dyDescent="0.35">
      <c r="A92" s="3">
        <v>88</v>
      </c>
      <c r="B92" s="4" t="s">
        <v>106</v>
      </c>
      <c r="C92" s="3" t="s">
        <v>238</v>
      </c>
      <c r="D92" s="4" t="s">
        <v>239</v>
      </c>
      <c r="E92" s="5" t="s">
        <v>410</v>
      </c>
      <c r="F92" s="5" t="s">
        <v>411</v>
      </c>
      <c r="G92" s="8" t="s">
        <v>115</v>
      </c>
      <c r="H92" s="5" t="s">
        <v>315</v>
      </c>
    </row>
    <row r="93" spans="1:8" ht="27.75" customHeight="1" x14ac:dyDescent="0.35">
      <c r="A93" s="3">
        <v>89</v>
      </c>
      <c r="B93" s="4" t="s">
        <v>106</v>
      </c>
      <c r="C93" s="3" t="s">
        <v>242</v>
      </c>
      <c r="D93" s="4" t="s">
        <v>243</v>
      </c>
      <c r="E93" s="5" t="s">
        <v>412</v>
      </c>
      <c r="F93" s="5" t="s">
        <v>128</v>
      </c>
      <c r="G93" s="18" t="s">
        <v>74</v>
      </c>
      <c r="H93" s="5" t="s">
        <v>111</v>
      </c>
    </row>
    <row r="94" spans="1:8" ht="27.75" customHeight="1" x14ac:dyDescent="0.35">
      <c r="A94" s="3">
        <v>90</v>
      </c>
      <c r="B94" s="4" t="s">
        <v>106</v>
      </c>
      <c r="C94" s="3" t="s">
        <v>413</v>
      </c>
      <c r="D94" s="4" t="s">
        <v>247</v>
      </c>
      <c r="E94" s="5" t="s">
        <v>414</v>
      </c>
      <c r="F94" s="5" t="s">
        <v>373</v>
      </c>
      <c r="G94" s="8" t="s">
        <v>115</v>
      </c>
      <c r="H94" s="5" t="s">
        <v>415</v>
      </c>
    </row>
    <row r="95" spans="1:8" ht="27.75" customHeight="1" x14ac:dyDescent="0.35">
      <c r="A95" s="3">
        <v>91</v>
      </c>
      <c r="B95" s="4" t="s">
        <v>106</v>
      </c>
      <c r="C95" s="3" t="s">
        <v>246</v>
      </c>
      <c r="D95" s="4" t="s">
        <v>251</v>
      </c>
      <c r="E95" s="5" t="s">
        <v>416</v>
      </c>
      <c r="F95" s="5" t="s">
        <v>373</v>
      </c>
      <c r="G95" s="18" t="s">
        <v>74</v>
      </c>
      <c r="H95" s="5" t="s">
        <v>111</v>
      </c>
    </row>
    <row r="96" spans="1:8" ht="27.75" customHeight="1" x14ac:dyDescent="0.35">
      <c r="A96" s="9">
        <v>92</v>
      </c>
      <c r="B96" s="10" t="s">
        <v>56</v>
      </c>
      <c r="C96" s="9" t="s">
        <v>417</v>
      </c>
      <c r="D96" s="10" t="s">
        <v>418</v>
      </c>
      <c r="E96" s="11" t="s">
        <v>419</v>
      </c>
      <c r="F96" s="11" t="s">
        <v>420</v>
      </c>
      <c r="G96" s="15" t="s">
        <v>74</v>
      </c>
      <c r="H96" s="11" t="s">
        <v>111</v>
      </c>
    </row>
    <row r="97" spans="1:8" ht="27.75" customHeight="1" x14ac:dyDescent="0.35">
      <c r="A97" s="3">
        <v>93</v>
      </c>
      <c r="B97" s="4" t="s">
        <v>56</v>
      </c>
      <c r="C97" s="3" t="s">
        <v>421</v>
      </c>
      <c r="D97" s="4" t="s">
        <v>422</v>
      </c>
      <c r="E97" s="5" t="s">
        <v>423</v>
      </c>
      <c r="F97" s="5" t="s">
        <v>424</v>
      </c>
      <c r="G97" s="18" t="s">
        <v>74</v>
      </c>
      <c r="H97" s="5" t="s">
        <v>111</v>
      </c>
    </row>
    <row r="98" spans="1:8" ht="27.75" customHeight="1" x14ac:dyDescent="0.35">
      <c r="A98" s="3">
        <v>94</v>
      </c>
      <c r="B98" s="4" t="s">
        <v>56</v>
      </c>
      <c r="C98" s="3" t="s">
        <v>425</v>
      </c>
      <c r="D98" s="4" t="s">
        <v>426</v>
      </c>
      <c r="E98" s="5" t="s">
        <v>427</v>
      </c>
      <c r="F98" s="5" t="s">
        <v>208</v>
      </c>
      <c r="G98" s="18" t="s">
        <v>74</v>
      </c>
      <c r="H98" s="5" t="s">
        <v>111</v>
      </c>
    </row>
    <row r="99" spans="1:8" ht="27.75" customHeight="1" x14ac:dyDescent="0.35">
      <c r="A99" s="3">
        <v>95</v>
      </c>
      <c r="B99" s="4" t="s">
        <v>56</v>
      </c>
      <c r="C99" s="3" t="s">
        <v>428</v>
      </c>
      <c r="D99" s="4" t="s">
        <v>429</v>
      </c>
      <c r="E99" s="5" t="s">
        <v>430</v>
      </c>
      <c r="F99" s="5" t="s">
        <v>431</v>
      </c>
      <c r="G99" s="8" t="s">
        <v>115</v>
      </c>
      <c r="H99" s="5" t="s">
        <v>432</v>
      </c>
    </row>
    <row r="100" spans="1:8" ht="27.75" customHeight="1" x14ac:dyDescent="0.35">
      <c r="A100" s="3">
        <v>96</v>
      </c>
      <c r="B100" s="4" t="s">
        <v>56</v>
      </c>
      <c r="C100" s="3" t="s">
        <v>433</v>
      </c>
      <c r="D100" s="4" t="s">
        <v>434</v>
      </c>
      <c r="E100" s="5" t="s">
        <v>435</v>
      </c>
      <c r="F100" s="5" t="s">
        <v>436</v>
      </c>
      <c r="G100" s="18" t="s">
        <v>74</v>
      </c>
      <c r="H100" s="5" t="s">
        <v>111</v>
      </c>
    </row>
    <row r="101" spans="1:8" ht="27.75" customHeight="1" x14ac:dyDescent="0.35">
      <c r="A101" s="3">
        <v>97</v>
      </c>
      <c r="B101" s="4" t="s">
        <v>56</v>
      </c>
      <c r="C101" s="3" t="s">
        <v>437</v>
      </c>
      <c r="D101" s="4" t="s">
        <v>438</v>
      </c>
      <c r="E101" s="5" t="s">
        <v>439</v>
      </c>
      <c r="F101" s="5" t="s">
        <v>440</v>
      </c>
      <c r="G101" s="18" t="s">
        <v>74</v>
      </c>
      <c r="H101" s="5" t="s">
        <v>111</v>
      </c>
    </row>
    <row r="102" spans="1:8" ht="27.75" customHeight="1" x14ac:dyDescent="0.35">
      <c r="A102" s="3">
        <v>98</v>
      </c>
      <c r="B102" s="4" t="s">
        <v>56</v>
      </c>
      <c r="C102" s="3" t="s">
        <v>441</v>
      </c>
      <c r="D102" s="4" t="s">
        <v>442</v>
      </c>
      <c r="E102" s="5" t="s">
        <v>443</v>
      </c>
      <c r="F102" s="5" t="s">
        <v>424</v>
      </c>
      <c r="G102" s="8" t="s">
        <v>115</v>
      </c>
      <c r="H102" s="5" t="s">
        <v>444</v>
      </c>
    </row>
  </sheetData>
  <autoFilter ref="A4:H102" xr:uid="{00000000-0009-0000-0000-000001000000}"/>
  <mergeCells count="1">
    <mergeCell ref="A2:H2"/>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55"/>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6328125" defaultRowHeight="14.5" x14ac:dyDescent="0.35"/>
  <cols>
    <col min="1" max="1" width="5" customWidth="1"/>
    <col min="2" max="2" width="22" customWidth="1"/>
    <col min="3" max="3" width="12" customWidth="1"/>
    <col min="4" max="4" width="18" customWidth="1"/>
    <col min="5" max="5" width="38" customWidth="1"/>
    <col min="6" max="6" width="12" customWidth="1"/>
    <col min="7" max="7" width="30" customWidth="1"/>
    <col min="8" max="8" width="34" customWidth="1"/>
    <col min="9" max="9" width="16" customWidth="1"/>
    <col min="10" max="10" width="14" customWidth="1"/>
    <col min="11" max="11" width="30" customWidth="1"/>
    <col min="12" max="12" width="13" customWidth="1"/>
    <col min="13" max="13" width="14" customWidth="1"/>
    <col min="14" max="14" width="10" customWidth="1"/>
    <col min="15" max="15" width="3" customWidth="1"/>
    <col min="16" max="16" width="26" customWidth="1"/>
    <col min="17" max="17" width="10" customWidth="1"/>
  </cols>
  <sheetData>
    <row r="1" spans="1:17" ht="18" x14ac:dyDescent="0.4">
      <c r="A1" s="1" t="s">
        <v>445</v>
      </c>
    </row>
    <row r="2" spans="1:17" x14ac:dyDescent="0.35">
      <c r="A2" s="34" t="s">
        <v>446</v>
      </c>
      <c r="B2" s="34"/>
      <c r="C2" s="34"/>
      <c r="D2" s="34"/>
      <c r="E2" s="34"/>
      <c r="F2" s="34"/>
      <c r="G2" s="34"/>
      <c r="H2" s="34"/>
      <c r="I2" s="34"/>
      <c r="J2" s="34"/>
      <c r="K2" s="34"/>
      <c r="L2" s="34"/>
      <c r="M2" s="34"/>
      <c r="N2" s="34"/>
    </row>
    <row r="5" spans="1:17" ht="31.5" customHeight="1" x14ac:dyDescent="0.35">
      <c r="A5" s="2" t="s">
        <v>2</v>
      </c>
      <c r="B5" s="2" t="s">
        <v>3</v>
      </c>
      <c r="C5" s="2" t="s">
        <v>447</v>
      </c>
      <c r="D5" s="2" t="s">
        <v>448</v>
      </c>
      <c r="E5" s="2" t="s">
        <v>449</v>
      </c>
      <c r="F5" s="2" t="s">
        <v>450</v>
      </c>
      <c r="G5" s="2" t="s">
        <v>451</v>
      </c>
      <c r="H5" s="2" t="s">
        <v>452</v>
      </c>
      <c r="I5" s="2" t="s">
        <v>453</v>
      </c>
      <c r="J5" s="2" t="s">
        <v>454</v>
      </c>
      <c r="K5" s="2" t="s">
        <v>455</v>
      </c>
      <c r="L5" s="2" t="s">
        <v>456</v>
      </c>
      <c r="M5" s="2" t="s">
        <v>457</v>
      </c>
      <c r="N5" s="2" t="s">
        <v>458</v>
      </c>
      <c r="P5" s="20" t="s">
        <v>459</v>
      </c>
      <c r="Q5" s="20" t="s">
        <v>460</v>
      </c>
    </row>
    <row r="6" spans="1:17" ht="54.75" customHeight="1" x14ac:dyDescent="0.35">
      <c r="A6" s="21">
        <v>1</v>
      </c>
      <c r="B6" s="22" t="s">
        <v>94</v>
      </c>
      <c r="C6" s="21" t="s">
        <v>461</v>
      </c>
      <c r="D6" s="22" t="s">
        <v>462</v>
      </c>
      <c r="E6" s="22" t="s">
        <v>463</v>
      </c>
      <c r="F6" s="21" t="s">
        <v>464</v>
      </c>
      <c r="G6" s="22" t="s">
        <v>465</v>
      </c>
      <c r="H6" s="22" t="s">
        <v>466</v>
      </c>
      <c r="I6" s="22" t="s">
        <v>467</v>
      </c>
      <c r="J6" s="23">
        <v>46371</v>
      </c>
      <c r="K6" s="22" t="s">
        <v>468</v>
      </c>
      <c r="L6" s="21" t="s">
        <v>469</v>
      </c>
      <c r="M6" s="23"/>
      <c r="N6" s="24">
        <f t="shared" ref="N6:N37" ca="1" si="0">IF(OR(J6="",L6="Closed"),"",J6-TODAY())</f>
        <v>62</v>
      </c>
      <c r="P6" s="25" t="s">
        <v>470</v>
      </c>
      <c r="Q6" s="14">
        <f>COUNTIF($L$6:$L$55,P6)</f>
        <v>0</v>
      </c>
    </row>
    <row r="7" spans="1:17" x14ac:dyDescent="0.35">
      <c r="A7" s="3" t="str">
        <f t="shared" ref="A7:A38" si="1">IF(B7="","",ROW()-6)</f>
        <v/>
      </c>
      <c r="B7" s="26"/>
      <c r="C7" s="27"/>
      <c r="D7" s="26"/>
      <c r="E7" s="26"/>
      <c r="F7" s="27"/>
      <c r="G7" s="26"/>
      <c r="H7" s="26"/>
      <c r="I7" s="26"/>
      <c r="J7" s="28"/>
      <c r="K7" s="26"/>
      <c r="L7" s="27"/>
      <c r="M7" s="28"/>
      <c r="N7" s="29" t="str">
        <f t="shared" ca="1" si="0"/>
        <v/>
      </c>
      <c r="P7" s="25" t="s">
        <v>469</v>
      </c>
      <c r="Q7" s="14">
        <f>COUNTIF($L$6:$L$55,P7)</f>
        <v>1</v>
      </c>
    </row>
    <row r="8" spans="1:17" x14ac:dyDescent="0.35">
      <c r="A8" s="3" t="str">
        <f t="shared" si="1"/>
        <v/>
      </c>
      <c r="B8" s="26"/>
      <c r="C8" s="27"/>
      <c r="D8" s="26"/>
      <c r="E8" s="26"/>
      <c r="F8" s="27"/>
      <c r="G8" s="26"/>
      <c r="H8" s="26"/>
      <c r="I8" s="26"/>
      <c r="J8" s="28"/>
      <c r="K8" s="26"/>
      <c r="L8" s="27"/>
      <c r="M8" s="28"/>
      <c r="N8" s="29" t="str">
        <f t="shared" ca="1" si="0"/>
        <v/>
      </c>
      <c r="P8" s="25" t="s">
        <v>471</v>
      </c>
      <c r="Q8" s="14">
        <f>COUNTIF($L$6:$L$55,P8)</f>
        <v>0</v>
      </c>
    </row>
    <row r="9" spans="1:17" x14ac:dyDescent="0.35">
      <c r="A9" s="3" t="str">
        <f t="shared" si="1"/>
        <v/>
      </c>
      <c r="B9" s="26"/>
      <c r="C9" s="27"/>
      <c r="D9" s="26"/>
      <c r="E9" s="26"/>
      <c r="F9" s="27"/>
      <c r="G9" s="26"/>
      <c r="H9" s="26"/>
      <c r="I9" s="26"/>
      <c r="J9" s="28"/>
      <c r="K9" s="26"/>
      <c r="L9" s="27"/>
      <c r="M9" s="28"/>
      <c r="N9" s="29" t="str">
        <f t="shared" ca="1" si="0"/>
        <v/>
      </c>
      <c r="P9" s="30" t="s">
        <v>472</v>
      </c>
      <c r="Q9" s="17">
        <f>SUM(Q6:Q8)</f>
        <v>1</v>
      </c>
    </row>
    <row r="10" spans="1:17" x14ac:dyDescent="0.35">
      <c r="A10" s="3" t="str">
        <f t="shared" si="1"/>
        <v/>
      </c>
      <c r="B10" s="26"/>
      <c r="C10" s="27"/>
      <c r="D10" s="26"/>
      <c r="E10" s="26"/>
      <c r="F10" s="27"/>
      <c r="G10" s="26"/>
      <c r="H10" s="26"/>
      <c r="I10" s="26"/>
      <c r="J10" s="28"/>
      <c r="K10" s="26"/>
      <c r="L10" s="27"/>
      <c r="M10" s="28"/>
      <c r="N10" s="29" t="str">
        <f t="shared" ca="1" si="0"/>
        <v/>
      </c>
      <c r="P10" s="30" t="s">
        <v>473</v>
      </c>
      <c r="Q10" s="17">
        <f ca="1">COUNTIF(N6:N55,"&lt;0")</f>
        <v>0</v>
      </c>
    </row>
    <row r="11" spans="1:17" x14ac:dyDescent="0.35">
      <c r="A11" s="3" t="str">
        <f t="shared" si="1"/>
        <v/>
      </c>
      <c r="B11" s="26"/>
      <c r="C11" s="27"/>
      <c r="D11" s="26"/>
      <c r="E11" s="26"/>
      <c r="F11" s="27"/>
      <c r="G11" s="26"/>
      <c r="H11" s="26"/>
      <c r="I11" s="26"/>
      <c r="J11" s="28"/>
      <c r="K11" s="26"/>
      <c r="L11" s="27"/>
      <c r="M11" s="28"/>
      <c r="N11" s="29" t="str">
        <f t="shared" ca="1" si="0"/>
        <v/>
      </c>
      <c r="P11" s="30" t="s">
        <v>474</v>
      </c>
      <c r="Q11" s="31">
        <f>IF(Q9=0,0,Q8/Q9)</f>
        <v>0</v>
      </c>
    </row>
    <row r="12" spans="1:17" x14ac:dyDescent="0.35">
      <c r="A12" s="3" t="str">
        <f t="shared" si="1"/>
        <v/>
      </c>
      <c r="B12" s="26"/>
      <c r="C12" s="27"/>
      <c r="D12" s="26"/>
      <c r="E12" s="26"/>
      <c r="F12" s="27"/>
      <c r="G12" s="26"/>
      <c r="H12" s="26"/>
      <c r="I12" s="26"/>
      <c r="J12" s="28"/>
      <c r="K12" s="26"/>
      <c r="L12" s="27"/>
      <c r="M12" s="28"/>
      <c r="N12" s="29" t="str">
        <f t="shared" ca="1" si="0"/>
        <v/>
      </c>
    </row>
    <row r="13" spans="1:17" x14ac:dyDescent="0.35">
      <c r="A13" s="3" t="str">
        <f t="shared" si="1"/>
        <v/>
      </c>
      <c r="B13" s="26"/>
      <c r="C13" s="27"/>
      <c r="D13" s="26"/>
      <c r="E13" s="26"/>
      <c r="F13" s="27"/>
      <c r="G13" s="26"/>
      <c r="H13" s="26"/>
      <c r="I13" s="26"/>
      <c r="J13" s="28"/>
      <c r="K13" s="26"/>
      <c r="L13" s="27"/>
      <c r="M13" s="28"/>
      <c r="N13" s="29" t="str">
        <f t="shared" ca="1" si="0"/>
        <v/>
      </c>
    </row>
    <row r="14" spans="1:17" x14ac:dyDescent="0.35">
      <c r="A14" s="3" t="str">
        <f t="shared" si="1"/>
        <v/>
      </c>
      <c r="B14" s="26"/>
      <c r="C14" s="27"/>
      <c r="D14" s="26"/>
      <c r="E14" s="26"/>
      <c r="F14" s="27"/>
      <c r="G14" s="26"/>
      <c r="H14" s="26"/>
      <c r="I14" s="26"/>
      <c r="J14" s="28"/>
      <c r="K14" s="26"/>
      <c r="L14" s="27"/>
      <c r="M14" s="28"/>
      <c r="N14" s="29" t="str">
        <f t="shared" ca="1" si="0"/>
        <v/>
      </c>
    </row>
    <row r="15" spans="1:17" x14ac:dyDescent="0.35">
      <c r="A15" s="3" t="str">
        <f t="shared" si="1"/>
        <v/>
      </c>
      <c r="B15" s="26"/>
      <c r="C15" s="27"/>
      <c r="D15" s="26"/>
      <c r="E15" s="26"/>
      <c r="F15" s="27"/>
      <c r="G15" s="26"/>
      <c r="H15" s="26"/>
      <c r="I15" s="26"/>
      <c r="J15" s="28"/>
      <c r="K15" s="26"/>
      <c r="L15" s="27"/>
      <c r="M15" s="28"/>
      <c r="N15" s="29" t="str">
        <f t="shared" ca="1" si="0"/>
        <v/>
      </c>
    </row>
    <row r="16" spans="1:17" x14ac:dyDescent="0.35">
      <c r="A16" s="3" t="str">
        <f t="shared" si="1"/>
        <v/>
      </c>
      <c r="B16" s="26"/>
      <c r="C16" s="27"/>
      <c r="D16" s="26"/>
      <c r="E16" s="26"/>
      <c r="F16" s="27"/>
      <c r="G16" s="26"/>
      <c r="H16" s="26"/>
      <c r="I16" s="26"/>
      <c r="J16" s="28"/>
      <c r="K16" s="26"/>
      <c r="L16" s="27"/>
      <c r="M16" s="28"/>
      <c r="N16" s="29" t="str">
        <f t="shared" ca="1" si="0"/>
        <v/>
      </c>
    </row>
    <row r="17" spans="1:14" x14ac:dyDescent="0.35">
      <c r="A17" s="3" t="str">
        <f t="shared" si="1"/>
        <v/>
      </c>
      <c r="B17" s="26"/>
      <c r="C17" s="27"/>
      <c r="D17" s="26"/>
      <c r="E17" s="26"/>
      <c r="F17" s="27"/>
      <c r="G17" s="26"/>
      <c r="H17" s="26"/>
      <c r="I17" s="26"/>
      <c r="J17" s="28"/>
      <c r="K17" s="26"/>
      <c r="L17" s="27"/>
      <c r="M17" s="28"/>
      <c r="N17" s="29" t="str">
        <f t="shared" ca="1" si="0"/>
        <v/>
      </c>
    </row>
    <row r="18" spans="1:14" x14ac:dyDescent="0.35">
      <c r="A18" s="3" t="str">
        <f t="shared" si="1"/>
        <v/>
      </c>
      <c r="B18" s="26"/>
      <c r="C18" s="27"/>
      <c r="D18" s="26"/>
      <c r="E18" s="26"/>
      <c r="F18" s="27"/>
      <c r="G18" s="26"/>
      <c r="H18" s="26"/>
      <c r="I18" s="26"/>
      <c r="J18" s="28"/>
      <c r="K18" s="26"/>
      <c r="L18" s="27"/>
      <c r="M18" s="28"/>
      <c r="N18" s="29" t="str">
        <f t="shared" ca="1" si="0"/>
        <v/>
      </c>
    </row>
    <row r="19" spans="1:14" x14ac:dyDescent="0.35">
      <c r="A19" s="3" t="str">
        <f t="shared" si="1"/>
        <v/>
      </c>
      <c r="B19" s="26"/>
      <c r="C19" s="27"/>
      <c r="D19" s="26"/>
      <c r="E19" s="26"/>
      <c r="F19" s="27"/>
      <c r="G19" s="26"/>
      <c r="H19" s="26"/>
      <c r="I19" s="26"/>
      <c r="J19" s="28"/>
      <c r="K19" s="26"/>
      <c r="L19" s="27"/>
      <c r="M19" s="28"/>
      <c r="N19" s="29" t="str">
        <f t="shared" ca="1" si="0"/>
        <v/>
      </c>
    </row>
    <row r="20" spans="1:14" x14ac:dyDescent="0.35">
      <c r="A20" s="3" t="str">
        <f t="shared" si="1"/>
        <v/>
      </c>
      <c r="B20" s="26"/>
      <c r="C20" s="27"/>
      <c r="D20" s="26"/>
      <c r="E20" s="26"/>
      <c r="F20" s="27"/>
      <c r="G20" s="26"/>
      <c r="H20" s="26"/>
      <c r="I20" s="26"/>
      <c r="J20" s="28"/>
      <c r="K20" s="26"/>
      <c r="L20" s="27"/>
      <c r="M20" s="28"/>
      <c r="N20" s="29" t="str">
        <f t="shared" ca="1" si="0"/>
        <v/>
      </c>
    </row>
    <row r="21" spans="1:14" x14ac:dyDescent="0.35">
      <c r="A21" s="3" t="str">
        <f t="shared" si="1"/>
        <v/>
      </c>
      <c r="B21" s="26"/>
      <c r="C21" s="27"/>
      <c r="D21" s="26"/>
      <c r="E21" s="26"/>
      <c r="F21" s="27"/>
      <c r="G21" s="26"/>
      <c r="H21" s="26"/>
      <c r="I21" s="26"/>
      <c r="J21" s="28"/>
      <c r="K21" s="26"/>
      <c r="L21" s="27"/>
      <c r="M21" s="28"/>
      <c r="N21" s="29" t="str">
        <f t="shared" ca="1" si="0"/>
        <v/>
      </c>
    </row>
    <row r="22" spans="1:14" x14ac:dyDescent="0.35">
      <c r="A22" s="3" t="str">
        <f t="shared" si="1"/>
        <v/>
      </c>
      <c r="B22" s="26"/>
      <c r="C22" s="27"/>
      <c r="D22" s="26"/>
      <c r="E22" s="26"/>
      <c r="F22" s="27"/>
      <c r="G22" s="26"/>
      <c r="H22" s="26"/>
      <c r="I22" s="26"/>
      <c r="J22" s="28"/>
      <c r="K22" s="26"/>
      <c r="L22" s="27"/>
      <c r="M22" s="28"/>
      <c r="N22" s="29" t="str">
        <f t="shared" ca="1" si="0"/>
        <v/>
      </c>
    </row>
    <row r="23" spans="1:14" x14ac:dyDescent="0.35">
      <c r="A23" s="3" t="str">
        <f t="shared" si="1"/>
        <v/>
      </c>
      <c r="B23" s="26"/>
      <c r="C23" s="27"/>
      <c r="D23" s="26"/>
      <c r="E23" s="26"/>
      <c r="F23" s="27"/>
      <c r="G23" s="26"/>
      <c r="H23" s="26"/>
      <c r="I23" s="26"/>
      <c r="J23" s="28"/>
      <c r="K23" s="26"/>
      <c r="L23" s="27"/>
      <c r="M23" s="28"/>
      <c r="N23" s="29" t="str">
        <f t="shared" ca="1" si="0"/>
        <v/>
      </c>
    </row>
    <row r="24" spans="1:14" x14ac:dyDescent="0.35">
      <c r="A24" s="3" t="str">
        <f t="shared" si="1"/>
        <v/>
      </c>
      <c r="B24" s="26"/>
      <c r="C24" s="27"/>
      <c r="D24" s="26"/>
      <c r="E24" s="26"/>
      <c r="F24" s="27"/>
      <c r="G24" s="26"/>
      <c r="H24" s="26"/>
      <c r="I24" s="26"/>
      <c r="J24" s="28"/>
      <c r="K24" s="26"/>
      <c r="L24" s="27"/>
      <c r="M24" s="28"/>
      <c r="N24" s="29" t="str">
        <f t="shared" ca="1" si="0"/>
        <v/>
      </c>
    </row>
    <row r="25" spans="1:14" x14ac:dyDescent="0.35">
      <c r="A25" s="3" t="str">
        <f t="shared" si="1"/>
        <v/>
      </c>
      <c r="B25" s="26"/>
      <c r="C25" s="27"/>
      <c r="D25" s="26"/>
      <c r="E25" s="26"/>
      <c r="F25" s="27"/>
      <c r="G25" s="26"/>
      <c r="H25" s="26"/>
      <c r="I25" s="26"/>
      <c r="J25" s="28"/>
      <c r="K25" s="26"/>
      <c r="L25" s="27"/>
      <c r="M25" s="28"/>
      <c r="N25" s="29" t="str">
        <f t="shared" ca="1" si="0"/>
        <v/>
      </c>
    </row>
    <row r="26" spans="1:14" x14ac:dyDescent="0.35">
      <c r="A26" s="3" t="str">
        <f t="shared" si="1"/>
        <v/>
      </c>
      <c r="B26" s="26"/>
      <c r="C26" s="27"/>
      <c r="D26" s="26"/>
      <c r="E26" s="26"/>
      <c r="F26" s="27"/>
      <c r="G26" s="26"/>
      <c r="H26" s="26"/>
      <c r="I26" s="26"/>
      <c r="J26" s="28"/>
      <c r="K26" s="26"/>
      <c r="L26" s="27"/>
      <c r="M26" s="28"/>
      <c r="N26" s="29" t="str">
        <f t="shared" ca="1" si="0"/>
        <v/>
      </c>
    </row>
    <row r="27" spans="1:14" x14ac:dyDescent="0.35">
      <c r="A27" s="3" t="str">
        <f t="shared" si="1"/>
        <v/>
      </c>
      <c r="B27" s="26"/>
      <c r="C27" s="27"/>
      <c r="D27" s="26"/>
      <c r="E27" s="26"/>
      <c r="F27" s="27"/>
      <c r="G27" s="26"/>
      <c r="H27" s="26"/>
      <c r="I27" s="26"/>
      <c r="J27" s="28"/>
      <c r="K27" s="26"/>
      <c r="L27" s="27"/>
      <c r="M27" s="28"/>
      <c r="N27" s="29" t="str">
        <f t="shared" ca="1" si="0"/>
        <v/>
      </c>
    </row>
    <row r="28" spans="1:14" x14ac:dyDescent="0.35">
      <c r="A28" s="3" t="str">
        <f t="shared" si="1"/>
        <v/>
      </c>
      <c r="B28" s="26"/>
      <c r="C28" s="27"/>
      <c r="D28" s="26"/>
      <c r="E28" s="26"/>
      <c r="F28" s="27"/>
      <c r="G28" s="26"/>
      <c r="H28" s="26"/>
      <c r="I28" s="26"/>
      <c r="J28" s="28"/>
      <c r="K28" s="26"/>
      <c r="L28" s="27"/>
      <c r="M28" s="28"/>
      <c r="N28" s="29" t="str">
        <f t="shared" ca="1" si="0"/>
        <v/>
      </c>
    </row>
    <row r="29" spans="1:14" x14ac:dyDescent="0.35">
      <c r="A29" s="3" t="str">
        <f t="shared" si="1"/>
        <v/>
      </c>
      <c r="B29" s="26"/>
      <c r="C29" s="27"/>
      <c r="D29" s="26"/>
      <c r="E29" s="26"/>
      <c r="F29" s="27"/>
      <c r="G29" s="26"/>
      <c r="H29" s="26"/>
      <c r="I29" s="26"/>
      <c r="J29" s="28"/>
      <c r="K29" s="26"/>
      <c r="L29" s="27"/>
      <c r="M29" s="28"/>
      <c r="N29" s="29" t="str">
        <f t="shared" ca="1" si="0"/>
        <v/>
      </c>
    </row>
    <row r="30" spans="1:14" x14ac:dyDescent="0.35">
      <c r="A30" s="3" t="str">
        <f t="shared" si="1"/>
        <v/>
      </c>
      <c r="B30" s="26"/>
      <c r="C30" s="27"/>
      <c r="D30" s="26"/>
      <c r="E30" s="26"/>
      <c r="F30" s="27"/>
      <c r="G30" s="26"/>
      <c r="H30" s="26"/>
      <c r="I30" s="26"/>
      <c r="J30" s="28"/>
      <c r="K30" s="26"/>
      <c r="L30" s="27"/>
      <c r="M30" s="28"/>
      <c r="N30" s="29" t="str">
        <f t="shared" ca="1" si="0"/>
        <v/>
      </c>
    </row>
    <row r="31" spans="1:14" x14ac:dyDescent="0.35">
      <c r="A31" s="3" t="str">
        <f t="shared" si="1"/>
        <v/>
      </c>
      <c r="B31" s="26"/>
      <c r="C31" s="27"/>
      <c r="D31" s="26"/>
      <c r="E31" s="26"/>
      <c r="F31" s="27"/>
      <c r="G31" s="26"/>
      <c r="H31" s="26"/>
      <c r="I31" s="26"/>
      <c r="J31" s="28"/>
      <c r="K31" s="26"/>
      <c r="L31" s="27"/>
      <c r="M31" s="28"/>
      <c r="N31" s="29" t="str">
        <f t="shared" ca="1" si="0"/>
        <v/>
      </c>
    </row>
    <row r="32" spans="1:14" x14ac:dyDescent="0.35">
      <c r="A32" s="3" t="str">
        <f t="shared" si="1"/>
        <v/>
      </c>
      <c r="B32" s="26"/>
      <c r="C32" s="27"/>
      <c r="D32" s="26"/>
      <c r="E32" s="26"/>
      <c r="F32" s="27"/>
      <c r="G32" s="26"/>
      <c r="H32" s="26"/>
      <c r="I32" s="26"/>
      <c r="J32" s="28"/>
      <c r="K32" s="26"/>
      <c r="L32" s="27"/>
      <c r="M32" s="28"/>
      <c r="N32" s="29" t="str">
        <f t="shared" ca="1" si="0"/>
        <v/>
      </c>
    </row>
    <row r="33" spans="1:14" x14ac:dyDescent="0.35">
      <c r="A33" s="3" t="str">
        <f t="shared" si="1"/>
        <v/>
      </c>
      <c r="B33" s="26"/>
      <c r="C33" s="27"/>
      <c r="D33" s="26"/>
      <c r="E33" s="26"/>
      <c r="F33" s="27"/>
      <c r="G33" s="26"/>
      <c r="H33" s="26"/>
      <c r="I33" s="26"/>
      <c r="J33" s="28"/>
      <c r="K33" s="26"/>
      <c r="L33" s="27"/>
      <c r="M33" s="28"/>
      <c r="N33" s="29" t="str">
        <f t="shared" ca="1" si="0"/>
        <v/>
      </c>
    </row>
    <row r="34" spans="1:14" x14ac:dyDescent="0.35">
      <c r="A34" s="3" t="str">
        <f t="shared" si="1"/>
        <v/>
      </c>
      <c r="B34" s="26"/>
      <c r="C34" s="27"/>
      <c r="D34" s="26"/>
      <c r="E34" s="26"/>
      <c r="F34" s="27"/>
      <c r="G34" s="26"/>
      <c r="H34" s="26"/>
      <c r="I34" s="26"/>
      <c r="J34" s="28"/>
      <c r="K34" s="26"/>
      <c r="L34" s="27"/>
      <c r="M34" s="28"/>
      <c r="N34" s="29" t="str">
        <f t="shared" ca="1" si="0"/>
        <v/>
      </c>
    </row>
    <row r="35" spans="1:14" x14ac:dyDescent="0.35">
      <c r="A35" s="3" t="str">
        <f t="shared" si="1"/>
        <v/>
      </c>
      <c r="B35" s="26"/>
      <c r="C35" s="27"/>
      <c r="D35" s="26"/>
      <c r="E35" s="26"/>
      <c r="F35" s="27"/>
      <c r="G35" s="26"/>
      <c r="H35" s="26"/>
      <c r="I35" s="26"/>
      <c r="J35" s="28"/>
      <c r="K35" s="26"/>
      <c r="L35" s="27"/>
      <c r="M35" s="28"/>
      <c r="N35" s="29" t="str">
        <f t="shared" ca="1" si="0"/>
        <v/>
      </c>
    </row>
    <row r="36" spans="1:14" x14ac:dyDescent="0.35">
      <c r="A36" s="3" t="str">
        <f t="shared" si="1"/>
        <v/>
      </c>
      <c r="B36" s="26"/>
      <c r="C36" s="27"/>
      <c r="D36" s="26"/>
      <c r="E36" s="26"/>
      <c r="F36" s="27"/>
      <c r="G36" s="26"/>
      <c r="H36" s="26"/>
      <c r="I36" s="26"/>
      <c r="J36" s="28"/>
      <c r="K36" s="26"/>
      <c r="L36" s="27"/>
      <c r="M36" s="28"/>
      <c r="N36" s="29" t="str">
        <f t="shared" ca="1" si="0"/>
        <v/>
      </c>
    </row>
    <row r="37" spans="1:14" x14ac:dyDescent="0.35">
      <c r="A37" s="3" t="str">
        <f t="shared" si="1"/>
        <v/>
      </c>
      <c r="B37" s="26"/>
      <c r="C37" s="27"/>
      <c r="D37" s="26"/>
      <c r="E37" s="26"/>
      <c r="F37" s="27"/>
      <c r="G37" s="26"/>
      <c r="H37" s="26"/>
      <c r="I37" s="26"/>
      <c r="J37" s="28"/>
      <c r="K37" s="26"/>
      <c r="L37" s="27"/>
      <c r="M37" s="28"/>
      <c r="N37" s="29" t="str">
        <f t="shared" ca="1" si="0"/>
        <v/>
      </c>
    </row>
    <row r="38" spans="1:14" x14ac:dyDescent="0.35">
      <c r="A38" s="3" t="str">
        <f t="shared" si="1"/>
        <v/>
      </c>
      <c r="B38" s="26"/>
      <c r="C38" s="27"/>
      <c r="D38" s="26"/>
      <c r="E38" s="26"/>
      <c r="F38" s="27"/>
      <c r="G38" s="26"/>
      <c r="H38" s="26"/>
      <c r="I38" s="26"/>
      <c r="J38" s="28"/>
      <c r="K38" s="26"/>
      <c r="L38" s="27"/>
      <c r="M38" s="28"/>
      <c r="N38" s="29" t="str">
        <f t="shared" ref="N38:N55" ca="1" si="2">IF(OR(J38="",L38="Closed"),"",J38-TODAY())</f>
        <v/>
      </c>
    </row>
    <row r="39" spans="1:14" x14ac:dyDescent="0.35">
      <c r="A39" s="3" t="str">
        <f t="shared" ref="A39:A55" si="3">IF(B39="","",ROW()-6)</f>
        <v/>
      </c>
      <c r="B39" s="26"/>
      <c r="C39" s="27"/>
      <c r="D39" s="26"/>
      <c r="E39" s="26"/>
      <c r="F39" s="27"/>
      <c r="G39" s="26"/>
      <c r="H39" s="26"/>
      <c r="I39" s="26"/>
      <c r="J39" s="28"/>
      <c r="K39" s="26"/>
      <c r="L39" s="27"/>
      <c r="M39" s="28"/>
      <c r="N39" s="29" t="str">
        <f t="shared" ca="1" si="2"/>
        <v/>
      </c>
    </row>
    <row r="40" spans="1:14" x14ac:dyDescent="0.35">
      <c r="A40" s="3" t="str">
        <f t="shared" si="3"/>
        <v/>
      </c>
      <c r="B40" s="26"/>
      <c r="C40" s="27"/>
      <c r="D40" s="26"/>
      <c r="E40" s="26"/>
      <c r="F40" s="27"/>
      <c r="G40" s="26"/>
      <c r="H40" s="26"/>
      <c r="I40" s="26"/>
      <c r="J40" s="28"/>
      <c r="K40" s="26"/>
      <c r="L40" s="27"/>
      <c r="M40" s="28"/>
      <c r="N40" s="29" t="str">
        <f t="shared" ca="1" si="2"/>
        <v/>
      </c>
    </row>
    <row r="41" spans="1:14" x14ac:dyDescent="0.35">
      <c r="A41" s="3" t="str">
        <f t="shared" si="3"/>
        <v/>
      </c>
      <c r="B41" s="26"/>
      <c r="C41" s="27"/>
      <c r="D41" s="26"/>
      <c r="E41" s="26"/>
      <c r="F41" s="27"/>
      <c r="G41" s="26"/>
      <c r="H41" s="26"/>
      <c r="I41" s="26"/>
      <c r="J41" s="28"/>
      <c r="K41" s="26"/>
      <c r="L41" s="27"/>
      <c r="M41" s="28"/>
      <c r="N41" s="29" t="str">
        <f t="shared" ca="1" si="2"/>
        <v/>
      </c>
    </row>
    <row r="42" spans="1:14" x14ac:dyDescent="0.35">
      <c r="A42" s="3" t="str">
        <f t="shared" si="3"/>
        <v/>
      </c>
      <c r="B42" s="26"/>
      <c r="C42" s="27"/>
      <c r="D42" s="26"/>
      <c r="E42" s="26"/>
      <c r="F42" s="27"/>
      <c r="G42" s="26"/>
      <c r="H42" s="26"/>
      <c r="I42" s="26"/>
      <c r="J42" s="28"/>
      <c r="K42" s="26"/>
      <c r="L42" s="27"/>
      <c r="M42" s="28"/>
      <c r="N42" s="29" t="str">
        <f t="shared" ca="1" si="2"/>
        <v/>
      </c>
    </row>
    <row r="43" spans="1:14" x14ac:dyDescent="0.35">
      <c r="A43" s="3" t="str">
        <f t="shared" si="3"/>
        <v/>
      </c>
      <c r="B43" s="26"/>
      <c r="C43" s="27"/>
      <c r="D43" s="26"/>
      <c r="E43" s="26"/>
      <c r="F43" s="27"/>
      <c r="G43" s="26"/>
      <c r="H43" s="26"/>
      <c r="I43" s="26"/>
      <c r="J43" s="28"/>
      <c r="K43" s="26"/>
      <c r="L43" s="27"/>
      <c r="M43" s="28"/>
      <c r="N43" s="29" t="str">
        <f t="shared" ca="1" si="2"/>
        <v/>
      </c>
    </row>
    <row r="44" spans="1:14" x14ac:dyDescent="0.35">
      <c r="A44" s="3" t="str">
        <f t="shared" si="3"/>
        <v/>
      </c>
      <c r="B44" s="26"/>
      <c r="C44" s="27"/>
      <c r="D44" s="26"/>
      <c r="E44" s="26"/>
      <c r="F44" s="27"/>
      <c r="G44" s="26"/>
      <c r="H44" s="26"/>
      <c r="I44" s="26"/>
      <c r="J44" s="28"/>
      <c r="K44" s="26"/>
      <c r="L44" s="27"/>
      <c r="M44" s="28"/>
      <c r="N44" s="29" t="str">
        <f t="shared" ca="1" si="2"/>
        <v/>
      </c>
    </row>
    <row r="45" spans="1:14" x14ac:dyDescent="0.35">
      <c r="A45" s="3" t="str">
        <f t="shared" si="3"/>
        <v/>
      </c>
      <c r="B45" s="26"/>
      <c r="C45" s="27"/>
      <c r="D45" s="26"/>
      <c r="E45" s="26"/>
      <c r="F45" s="27"/>
      <c r="G45" s="26"/>
      <c r="H45" s="26"/>
      <c r="I45" s="26"/>
      <c r="J45" s="28"/>
      <c r="K45" s="26"/>
      <c r="L45" s="27"/>
      <c r="M45" s="28"/>
      <c r="N45" s="29" t="str">
        <f t="shared" ca="1" si="2"/>
        <v/>
      </c>
    </row>
    <row r="46" spans="1:14" x14ac:dyDescent="0.35">
      <c r="A46" s="3" t="str">
        <f t="shared" si="3"/>
        <v/>
      </c>
      <c r="B46" s="26"/>
      <c r="C46" s="27"/>
      <c r="D46" s="26"/>
      <c r="E46" s="26"/>
      <c r="F46" s="27"/>
      <c r="G46" s="26"/>
      <c r="H46" s="26"/>
      <c r="I46" s="26"/>
      <c r="J46" s="28"/>
      <c r="K46" s="26"/>
      <c r="L46" s="27"/>
      <c r="M46" s="28"/>
      <c r="N46" s="29" t="str">
        <f t="shared" ca="1" si="2"/>
        <v/>
      </c>
    </row>
    <row r="47" spans="1:14" x14ac:dyDescent="0.35">
      <c r="A47" s="3" t="str">
        <f t="shared" si="3"/>
        <v/>
      </c>
      <c r="B47" s="26"/>
      <c r="C47" s="27"/>
      <c r="D47" s="26"/>
      <c r="E47" s="26"/>
      <c r="F47" s="27"/>
      <c r="G47" s="26"/>
      <c r="H47" s="26"/>
      <c r="I47" s="26"/>
      <c r="J47" s="28"/>
      <c r="K47" s="26"/>
      <c r="L47" s="27"/>
      <c r="M47" s="28"/>
      <c r="N47" s="29" t="str">
        <f t="shared" ca="1" si="2"/>
        <v/>
      </c>
    </row>
    <row r="48" spans="1:14" x14ac:dyDescent="0.35">
      <c r="A48" s="3" t="str">
        <f t="shared" si="3"/>
        <v/>
      </c>
      <c r="B48" s="26"/>
      <c r="C48" s="27"/>
      <c r="D48" s="26"/>
      <c r="E48" s="26"/>
      <c r="F48" s="27"/>
      <c r="G48" s="26"/>
      <c r="H48" s="26"/>
      <c r="I48" s="26"/>
      <c r="J48" s="28"/>
      <c r="K48" s="26"/>
      <c r="L48" s="27"/>
      <c r="M48" s="28"/>
      <c r="N48" s="29" t="str">
        <f t="shared" ca="1" si="2"/>
        <v/>
      </c>
    </row>
    <row r="49" spans="1:14" x14ac:dyDescent="0.35">
      <c r="A49" s="3" t="str">
        <f t="shared" si="3"/>
        <v/>
      </c>
      <c r="B49" s="26"/>
      <c r="C49" s="27"/>
      <c r="D49" s="26"/>
      <c r="E49" s="26"/>
      <c r="F49" s="27"/>
      <c r="G49" s="26"/>
      <c r="H49" s="26"/>
      <c r="I49" s="26"/>
      <c r="J49" s="28"/>
      <c r="K49" s="26"/>
      <c r="L49" s="27"/>
      <c r="M49" s="28"/>
      <c r="N49" s="29" t="str">
        <f t="shared" ca="1" si="2"/>
        <v/>
      </c>
    </row>
    <row r="50" spans="1:14" x14ac:dyDescent="0.35">
      <c r="A50" s="3" t="str">
        <f t="shared" si="3"/>
        <v/>
      </c>
      <c r="B50" s="26"/>
      <c r="C50" s="27"/>
      <c r="D50" s="26"/>
      <c r="E50" s="26"/>
      <c r="F50" s="27"/>
      <c r="G50" s="26"/>
      <c r="H50" s="26"/>
      <c r="I50" s="26"/>
      <c r="J50" s="28"/>
      <c r="K50" s="26"/>
      <c r="L50" s="27"/>
      <c r="M50" s="28"/>
      <c r="N50" s="29" t="str">
        <f t="shared" ca="1" si="2"/>
        <v/>
      </c>
    </row>
    <row r="51" spans="1:14" x14ac:dyDescent="0.35">
      <c r="A51" s="3" t="str">
        <f t="shared" si="3"/>
        <v/>
      </c>
      <c r="B51" s="26"/>
      <c r="C51" s="27"/>
      <c r="D51" s="26"/>
      <c r="E51" s="26"/>
      <c r="F51" s="27"/>
      <c r="G51" s="26"/>
      <c r="H51" s="26"/>
      <c r="I51" s="26"/>
      <c r="J51" s="28"/>
      <c r="K51" s="26"/>
      <c r="L51" s="27"/>
      <c r="M51" s="28"/>
      <c r="N51" s="29" t="str">
        <f t="shared" ca="1" si="2"/>
        <v/>
      </c>
    </row>
    <row r="52" spans="1:14" x14ac:dyDescent="0.35">
      <c r="A52" s="3" t="str">
        <f t="shared" si="3"/>
        <v/>
      </c>
      <c r="B52" s="26"/>
      <c r="C52" s="27"/>
      <c r="D52" s="26"/>
      <c r="E52" s="26"/>
      <c r="F52" s="27"/>
      <c r="G52" s="26"/>
      <c r="H52" s="26"/>
      <c r="I52" s="26"/>
      <c r="J52" s="28"/>
      <c r="K52" s="26"/>
      <c r="L52" s="27"/>
      <c r="M52" s="28"/>
      <c r="N52" s="29" t="str">
        <f t="shared" ca="1" si="2"/>
        <v/>
      </c>
    </row>
    <row r="53" spans="1:14" x14ac:dyDescent="0.35">
      <c r="A53" s="3" t="str">
        <f t="shared" si="3"/>
        <v/>
      </c>
      <c r="B53" s="26"/>
      <c r="C53" s="27"/>
      <c r="D53" s="26"/>
      <c r="E53" s="26"/>
      <c r="F53" s="27"/>
      <c r="G53" s="26"/>
      <c r="H53" s="26"/>
      <c r="I53" s="26"/>
      <c r="J53" s="28"/>
      <c r="K53" s="26"/>
      <c r="L53" s="27"/>
      <c r="M53" s="28"/>
      <c r="N53" s="29" t="str">
        <f t="shared" ca="1" si="2"/>
        <v/>
      </c>
    </row>
    <row r="54" spans="1:14" x14ac:dyDescent="0.35">
      <c r="A54" s="3" t="str">
        <f t="shared" si="3"/>
        <v/>
      </c>
      <c r="B54" s="26"/>
      <c r="C54" s="27"/>
      <c r="D54" s="26"/>
      <c r="E54" s="26"/>
      <c r="F54" s="27"/>
      <c r="G54" s="26"/>
      <c r="H54" s="26"/>
      <c r="I54" s="26"/>
      <c r="J54" s="28"/>
      <c r="K54" s="26"/>
      <c r="L54" s="27"/>
      <c r="M54" s="28"/>
      <c r="N54" s="29" t="str">
        <f t="shared" ca="1" si="2"/>
        <v/>
      </c>
    </row>
    <row r="55" spans="1:14" x14ac:dyDescent="0.35">
      <c r="A55" s="3" t="str">
        <f t="shared" si="3"/>
        <v/>
      </c>
      <c r="B55" s="26"/>
      <c r="C55" s="27"/>
      <c r="D55" s="26"/>
      <c r="E55" s="26"/>
      <c r="F55" s="27"/>
      <c r="G55" s="26"/>
      <c r="H55" s="26"/>
      <c r="I55" s="26"/>
      <c r="J55" s="28"/>
      <c r="K55" s="26"/>
      <c r="L55" s="27"/>
      <c r="M55" s="28"/>
      <c r="N55" s="29" t="str">
        <f t="shared" ca="1" si="2"/>
        <v/>
      </c>
    </row>
  </sheetData>
  <mergeCells count="1">
    <mergeCell ref="A2:N2"/>
  </mergeCells>
  <conditionalFormatting sqref="L6:L55">
    <cfRule type="cellIs" dxfId="3" priority="2" operator="equal">
      <formula>"Closed"</formula>
    </cfRule>
    <cfRule type="cellIs" dxfId="2" priority="3" operator="equal">
      <formula>"In Progress"</formula>
    </cfRule>
    <cfRule type="cellIs" dxfId="1" priority="4" operator="equal">
      <formula>"Open"</formula>
    </cfRule>
  </conditionalFormatting>
  <conditionalFormatting sqref="N6:N55">
    <cfRule type="expression" dxfId="0" priority="5">
      <formula>AND(ISNUMBER(N6),N6&lt;0)</formula>
    </cfRule>
  </conditionalFormatting>
  <dataValidations count="4">
    <dataValidation type="list" allowBlank="1" sqref="B6:B55" xr:uid="{00000000-0002-0000-0200-000000000000}">
      <formula1>"CDM SKK Migas,ISO SMT,Survey LENS,Audit K3 PTK-005,PSAIMS,ISO 50001,Audit Survey / CSMS"</formula1>
      <formula2>0</formula2>
    </dataValidation>
    <dataValidation type="list" allowBlank="1" sqref="F6:F55" xr:uid="{00000000-0002-0000-0200-000001000000}">
      <formula1>"Major,Minor,Observasi,OFI"</formula1>
      <formula2>0</formula2>
    </dataValidation>
    <dataValidation type="list" allowBlank="1" sqref="L6:L55" xr:uid="{00000000-0002-0000-0200-000002000000}">
      <formula1>"Open,In Progress,Closed"</formula1>
      <formula2>0</formula2>
    </dataValidation>
    <dataValidation type="date" operator="greaterThan" allowBlank="1" sqref="J6:J55 M6:M55" xr:uid="{00000000-0002-0000-0200-000003000000}">
      <formula1>DATE(2020,1,1)</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9"/>
  <sheetViews>
    <sheetView showGridLines="0" zoomScaleNormal="100" workbookViewId="0"/>
  </sheetViews>
  <sheetFormatPr defaultColWidth="8.6328125" defaultRowHeight="14.5" x14ac:dyDescent="0.35"/>
  <cols>
    <col min="1" max="1" width="5" customWidth="1"/>
    <col min="2" max="2" width="50" customWidth="1"/>
    <col min="3" max="3" width="55" customWidth="1"/>
    <col min="4" max="4" width="40" customWidth="1"/>
  </cols>
  <sheetData>
    <row r="1" spans="1:4" ht="18" x14ac:dyDescent="0.4">
      <c r="A1" s="1" t="s">
        <v>475</v>
      </c>
    </row>
    <row r="3" spans="1:4" ht="31.5" customHeight="1" x14ac:dyDescent="0.35">
      <c r="A3" s="2" t="s">
        <v>2</v>
      </c>
      <c r="B3" s="2" t="s">
        <v>476</v>
      </c>
      <c r="C3" s="2" t="s">
        <v>477</v>
      </c>
      <c r="D3" s="2" t="s">
        <v>478</v>
      </c>
    </row>
    <row r="4" spans="1:4" ht="45" customHeight="1" x14ac:dyDescent="0.35">
      <c r="A4" s="3">
        <v>1</v>
      </c>
      <c r="B4" s="5" t="s">
        <v>479</v>
      </c>
      <c r="C4" s="5" t="s">
        <v>480</v>
      </c>
      <c r="D4" s="26"/>
    </row>
    <row r="5" spans="1:4" ht="45" customHeight="1" x14ac:dyDescent="0.35">
      <c r="A5" s="3">
        <v>2</v>
      </c>
      <c r="B5" s="5" t="s">
        <v>481</v>
      </c>
      <c r="C5" s="5" t="s">
        <v>482</v>
      </c>
      <c r="D5" s="26"/>
    </row>
    <row r="6" spans="1:4" ht="45" customHeight="1" x14ac:dyDescent="0.35">
      <c r="A6" s="3">
        <v>3</v>
      </c>
      <c r="B6" s="5" t="s">
        <v>483</v>
      </c>
      <c r="C6" s="5" t="s">
        <v>484</v>
      </c>
      <c r="D6" s="26"/>
    </row>
    <row r="7" spans="1:4" ht="45" customHeight="1" x14ac:dyDescent="0.35">
      <c r="A7" s="3">
        <v>4</v>
      </c>
      <c r="B7" s="5" t="s">
        <v>485</v>
      </c>
      <c r="C7" s="5" t="s">
        <v>486</v>
      </c>
      <c r="D7" s="26"/>
    </row>
    <row r="8" spans="1:4" ht="45" customHeight="1" x14ac:dyDescent="0.35">
      <c r="A8" s="3">
        <v>5</v>
      </c>
      <c r="B8" s="5" t="s">
        <v>487</v>
      </c>
      <c r="C8" s="5" t="s">
        <v>488</v>
      </c>
      <c r="D8" s="26"/>
    </row>
    <row r="9" spans="1:4" ht="45" customHeight="1" x14ac:dyDescent="0.35">
      <c r="A9" s="3">
        <v>6</v>
      </c>
      <c r="B9" s="5" t="s">
        <v>489</v>
      </c>
      <c r="C9" s="5" t="s">
        <v>490</v>
      </c>
      <c r="D9" s="26"/>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9"/>
  <sheetViews>
    <sheetView showGridLines="0" zoomScaleNormal="100" workbookViewId="0"/>
  </sheetViews>
  <sheetFormatPr defaultColWidth="8.6328125" defaultRowHeight="14.5" x14ac:dyDescent="0.35"/>
  <cols>
    <col min="1" max="1" width="5" customWidth="1"/>
    <col min="2" max="2" width="50" customWidth="1"/>
    <col min="3" max="3" width="40" customWidth="1"/>
    <col min="4" max="4" width="70" customWidth="1"/>
  </cols>
  <sheetData>
    <row r="1" spans="1:4" ht="18" x14ac:dyDescent="0.4">
      <c r="A1" s="1" t="s">
        <v>491</v>
      </c>
    </row>
    <row r="3" spans="1:4" ht="31.5" customHeight="1" x14ac:dyDescent="0.35">
      <c r="A3" s="2" t="s">
        <v>2</v>
      </c>
      <c r="B3" s="2" t="s">
        <v>492</v>
      </c>
      <c r="C3" s="2" t="s">
        <v>493</v>
      </c>
      <c r="D3" s="2" t="s">
        <v>494</v>
      </c>
    </row>
    <row r="4" spans="1:4" ht="39.75" customHeight="1" x14ac:dyDescent="0.35">
      <c r="A4" s="3">
        <v>1</v>
      </c>
      <c r="B4" s="5" t="s">
        <v>495</v>
      </c>
      <c r="C4" s="5" t="s">
        <v>496</v>
      </c>
      <c r="D4" s="32" t="s">
        <v>497</v>
      </c>
    </row>
    <row r="5" spans="1:4" ht="39.75" customHeight="1" x14ac:dyDescent="0.35">
      <c r="A5" s="3">
        <v>2</v>
      </c>
      <c r="B5" s="5" t="s">
        <v>498</v>
      </c>
      <c r="C5" s="5" t="s">
        <v>499</v>
      </c>
      <c r="D5" s="32" t="s">
        <v>500</v>
      </c>
    </row>
    <row r="6" spans="1:4" ht="39.75" customHeight="1" x14ac:dyDescent="0.35">
      <c r="A6" s="3">
        <v>3</v>
      </c>
      <c r="B6" s="5" t="s">
        <v>501</v>
      </c>
      <c r="C6" s="5" t="s">
        <v>502</v>
      </c>
      <c r="D6" s="32" t="s">
        <v>503</v>
      </c>
    </row>
    <row r="7" spans="1:4" ht="39.75" customHeight="1" x14ac:dyDescent="0.35">
      <c r="A7" s="3">
        <v>4</v>
      </c>
      <c r="B7" s="5" t="s">
        <v>504</v>
      </c>
      <c r="C7" s="5" t="s">
        <v>505</v>
      </c>
      <c r="D7" s="32" t="s">
        <v>506</v>
      </c>
    </row>
    <row r="8" spans="1:4" ht="39.75" customHeight="1" x14ac:dyDescent="0.35">
      <c r="A8" s="3">
        <v>5</v>
      </c>
      <c r="B8" s="5" t="s">
        <v>507</v>
      </c>
      <c r="C8" s="5" t="s">
        <v>508</v>
      </c>
      <c r="D8" s="32" t="s">
        <v>509</v>
      </c>
    </row>
    <row r="9" spans="1:4" ht="39.75" customHeight="1" x14ac:dyDescent="0.35">
      <c r="A9" s="3">
        <v>6</v>
      </c>
      <c r="B9" s="5" t="s">
        <v>510</v>
      </c>
      <c r="C9" s="5" t="s">
        <v>511</v>
      </c>
      <c r="D9" s="32" t="s">
        <v>512</v>
      </c>
    </row>
  </sheetData>
  <hyperlinks>
    <hyperlink ref="D4" r:id="rId1" xr:uid="{00000000-0004-0000-0400-000000000000}"/>
    <hyperlink ref="D5" r:id="rId2" xr:uid="{00000000-0004-0000-0400-000001000000}"/>
    <hyperlink ref="D6" r:id="rId3" xr:uid="{00000000-0004-0000-0400-000002000000}"/>
    <hyperlink ref="D7" r:id="rId4" xr:uid="{00000000-0004-0000-0400-000003000000}"/>
    <hyperlink ref="D8" r:id="rId5" xr:uid="{00000000-0004-0000-0400-000004000000}"/>
    <hyperlink ref="D9" r:id="rId6" xr:uid="{00000000-0004-0000-0400-000005000000}"/>
  </hyperlink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Pemetaan HC</vt:lpstr>
      <vt:lpstr>Rincian Semua Klausul</vt:lpstr>
      <vt:lpstr>Tracker Follow Up</vt:lpstr>
      <vt:lpstr>Pertanyaan Pembimbing</vt:lpstr>
      <vt:lpstr>Sumber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lastModifiedBy>
  <cp:revision>0</cp:revision>
  <dcterms:created xsi:type="dcterms:W3CDTF">2026-10-12T07:24:44Z</dcterms:created>
  <dcterms:modified xsi:type="dcterms:W3CDTF">2026-10-14T02:58:42Z</dcterms:modified>
  <dc:language>en-US</dc:language>
</cp:coreProperties>
</file>